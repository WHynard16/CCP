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6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7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willh\Downloads\"/>
    </mc:Choice>
  </mc:AlternateContent>
  <xr:revisionPtr revIDLastSave="0" documentId="13_ncr:1_{F8B68CF4-4AF7-452A-8FE9-4F03C4C404C3}" xr6:coauthVersionLast="47" xr6:coauthVersionMax="47" xr10:uidLastSave="{00000000-0000-0000-0000-000000000000}"/>
  <bookViews>
    <workbookView showHorizontalScroll="0" showSheetTabs="0" xWindow="-93" yWindow="-93" windowWidth="25786" windowHeight="13986" tabRatio="481" xr2:uid="{00000000-000D-0000-FFFF-FFFF00000000}"/>
  </bookViews>
  <sheets>
    <sheet name="HOME" sheetId="1" r:id="rId1"/>
    <sheet name="DETAILS" sheetId="7" r:id="rId2"/>
    <sheet name="SALES" sheetId="2" r:id="rId3"/>
    <sheet name="SERVICE" sheetId="3" r:id="rId4"/>
    <sheet name="PARTS" sheetId="4" r:id="rId5"/>
    <sheet name="FARMSIGHT" sheetId="5" r:id="rId6"/>
    <sheet name="FINANCE &amp; ACCOUNTS" sheetId="6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G34" i="1"/>
  <c r="B34" i="1" s="1"/>
  <c r="G29" i="1"/>
  <c r="B29" i="1" s="1"/>
  <c r="G26" i="1"/>
  <c r="B26" i="1" s="1"/>
  <c r="G17" i="1"/>
  <c r="B17" i="1" s="1"/>
  <c r="G16" i="1"/>
  <c r="B16" i="1" s="1"/>
  <c r="G13" i="1"/>
  <c r="B13" i="1" s="1"/>
  <c r="G48" i="1"/>
  <c r="B48" i="1" s="1"/>
  <c r="G49" i="1"/>
  <c r="B49" i="1" s="1"/>
  <c r="G50" i="1"/>
  <c r="B50" i="1" s="1"/>
  <c r="G51" i="1"/>
  <c r="B51" i="1" s="1"/>
  <c r="G52" i="1"/>
  <c r="B52" i="1" s="1"/>
  <c r="G53" i="1"/>
  <c r="B53" i="1" s="1"/>
  <c r="G54" i="1"/>
  <c r="B54" i="1" s="1"/>
  <c r="G55" i="1"/>
  <c r="B55" i="1" s="1"/>
  <c r="G56" i="1"/>
  <c r="B56" i="1" s="1"/>
  <c r="G57" i="1"/>
  <c r="B57" i="1" s="1"/>
  <c r="G58" i="1"/>
  <c r="B58" i="1" s="1"/>
  <c r="G59" i="1"/>
  <c r="B59" i="1" s="1"/>
  <c r="G60" i="1"/>
  <c r="B60" i="1" s="1"/>
  <c r="G61" i="1"/>
  <c r="B61" i="1" s="1"/>
  <c r="G47" i="1"/>
  <c r="B47" i="1" s="1"/>
  <c r="G45" i="1"/>
  <c r="B45" i="1" s="1"/>
  <c r="G41" i="1"/>
  <c r="B41" i="1" s="1"/>
  <c r="G42" i="1"/>
  <c r="B42" i="1" s="1"/>
  <c r="G40" i="1"/>
  <c r="B40" i="1" s="1"/>
  <c r="G36" i="1"/>
  <c r="B36" i="1" s="1"/>
  <c r="G31" i="1"/>
  <c r="B32" i="1" s="1"/>
  <c r="G19" i="1"/>
  <c r="B19" i="1" s="1"/>
  <c r="G18" i="1"/>
  <c r="B18" i="1" s="1"/>
  <c r="G43" i="1"/>
  <c r="B43" i="1" s="1"/>
  <c r="G35" i="1"/>
  <c r="B35" i="1" s="1"/>
  <c r="G33" i="1"/>
  <c r="B33" i="1" s="1"/>
  <c r="G32" i="1"/>
  <c r="B31" i="1" s="1"/>
  <c r="G27" i="1"/>
  <c r="B27" i="1" s="1"/>
  <c r="G25" i="1"/>
  <c r="B25" i="1" s="1"/>
  <c r="G44" i="1"/>
  <c r="B44" i="1" s="1"/>
  <c r="G38" i="1"/>
  <c r="B38" i="1" s="1"/>
  <c r="G37" i="1"/>
  <c r="B37" i="1" s="1"/>
  <c r="G30" i="1"/>
  <c r="B30" i="1" s="1"/>
  <c r="G28" i="1"/>
  <c r="B28" i="1" s="1"/>
  <c r="G24" i="1"/>
  <c r="B24" i="1" s="1"/>
  <c r="G23" i="1"/>
  <c r="B23" i="1" s="1"/>
  <c r="G21" i="1"/>
  <c r="B21" i="1" s="1"/>
  <c r="G20" i="1"/>
  <c r="B20" i="1" s="1"/>
  <c r="G15" i="1"/>
  <c r="B15" i="1" s="1"/>
  <c r="G14" i="1"/>
  <c r="B14" i="1" s="1"/>
  <c r="G11" i="1"/>
  <c r="B11" i="1" s="1"/>
  <c r="G12" i="1"/>
  <c r="B12" i="1" s="1"/>
  <c r="G10" i="1"/>
  <c r="F47" i="1" l="1"/>
  <c r="F40" i="1"/>
  <c r="F10" i="1"/>
  <c r="F23" i="1"/>
  <c r="C5" i="1"/>
  <c r="E5" i="7" l="1"/>
  <c r="C2" i="4" l="1"/>
  <c r="C2" i="6" l="1"/>
  <c r="C2" i="5"/>
  <c r="C2" i="2"/>
  <c r="B10" i="1"/>
  <c r="E6" i="1"/>
  <c r="D6" i="1"/>
  <c r="E5" i="1"/>
  <c r="D5" i="1"/>
  <c r="E4" i="1"/>
  <c r="D4" i="1"/>
  <c r="E3" i="1"/>
  <c r="D3" i="1"/>
</calcChain>
</file>

<file path=xl/sharedStrings.xml><?xml version="1.0" encoding="utf-8"?>
<sst xmlns="http://schemas.openxmlformats.org/spreadsheetml/2006/main" count="164" uniqueCount="74">
  <si>
    <t>1)</t>
  </si>
  <si>
    <t>2)</t>
  </si>
  <si>
    <t>3)</t>
  </si>
  <si>
    <t>Customer Care Process</t>
  </si>
  <si>
    <t>Create WOF</t>
  </si>
  <si>
    <t>Take order (&amp; deposit if required)</t>
  </si>
  <si>
    <t>Create PDI WSJ</t>
  </si>
  <si>
    <t xml:space="preserve">Collate stock parts and order non stocked parts </t>
  </si>
  <si>
    <t>Check the order to ensure specified machine &amp; attachments are ordered with correct spec</t>
  </si>
  <si>
    <t>Place order with manufacturer</t>
  </si>
  <si>
    <t>FDD entered onto WOF &amp; Customer notifcation of approx. delivery date</t>
  </si>
  <si>
    <t>Initiate finance</t>
  </si>
  <si>
    <t>Check machine against sales order</t>
  </si>
  <si>
    <t>Invoice machine</t>
  </si>
  <si>
    <t xml:space="preserve">PDI and fit attachments as per WOF          </t>
  </si>
  <si>
    <t xml:space="preserve">Notify PDI completion to sales and AMS team        </t>
  </si>
  <si>
    <t xml:space="preserve">Activate JD link/AMS products </t>
  </si>
  <si>
    <t>Handover, installation and discuss contact list</t>
  </si>
  <si>
    <t xml:space="preserve">Customer to sign delivery certificate </t>
  </si>
  <si>
    <t>Send delivery ticket to SA and register machines for warranty</t>
  </si>
  <si>
    <t xml:space="preserve">Ensure PG is ordered as required 28 days post invoice </t>
  </si>
  <si>
    <t xml:space="preserve">3 day initial use call </t>
  </si>
  <si>
    <t xml:space="preserve">Log any issues and communicate to relevant departments </t>
  </si>
  <si>
    <t>Log any issues and communicate to relevant departments</t>
  </si>
  <si>
    <t xml:space="preserve">Address verification and customer call </t>
  </si>
  <si>
    <t xml:space="preserve">Send satisfaction survey </t>
  </si>
  <si>
    <t xml:space="preserve">Return of satisfaction survey </t>
  </si>
  <si>
    <t>Open survey case within two days</t>
  </si>
  <si>
    <t xml:space="preserve">Communicate any survey follow up action to relevant departments </t>
  </si>
  <si>
    <t xml:space="preserve">Call customer, thank you for return of survey and discuss any issues </t>
  </si>
  <si>
    <t xml:space="preserve">Update case and close with customer agreed action within 30 days </t>
  </si>
  <si>
    <t xml:space="preserve">Send thank you letter for survey </t>
  </si>
  <si>
    <t>JDE trend data analysis</t>
  </si>
  <si>
    <t>4)</t>
  </si>
  <si>
    <t>5)</t>
  </si>
  <si>
    <t>6)</t>
  </si>
  <si>
    <t>7)</t>
  </si>
  <si>
    <t>8)</t>
  </si>
  <si>
    <t>9)</t>
  </si>
  <si>
    <t>10)</t>
  </si>
  <si>
    <t>11)</t>
  </si>
  <si>
    <t>12)</t>
  </si>
  <si>
    <t>13)</t>
  </si>
  <si>
    <t>14)</t>
  </si>
  <si>
    <t>15)</t>
  </si>
  <si>
    <t>Verify that payment is underway and apply to DVLA for registration</t>
  </si>
  <si>
    <t>All parts Available</t>
  </si>
  <si>
    <t>SERIAL NUMBER:</t>
  </si>
  <si>
    <t>WHOLEGOOD NUMBER:</t>
  </si>
  <si>
    <t>CUSTOMER:</t>
  </si>
  <si>
    <t>MODEL:</t>
  </si>
  <si>
    <t>Supply parts to W/S and drivers pack</t>
  </si>
  <si>
    <t>Notification Recipient for Department:</t>
  </si>
  <si>
    <t>Overall Progress</t>
  </si>
  <si>
    <r>
      <t xml:space="preserve">↑ Completed On: </t>
    </r>
    <r>
      <rPr>
        <b/>
        <sz val="11"/>
        <color theme="1"/>
        <rFont val="Calibri"/>
        <family val="2"/>
      </rPr>
      <t>↑</t>
    </r>
  </si>
  <si>
    <t>↑ Completed On: ↑</t>
  </si>
  <si>
    <t>Quote - with finance and PowerGard</t>
  </si>
  <si>
    <t>Deposit/Finance approval if required</t>
  </si>
  <si>
    <t>Order Confirmation to be sent with final quotation</t>
  </si>
  <si>
    <t>WOF to be sent to Accounts to obtain order</t>
  </si>
  <si>
    <t>Circulate Order Number and final WOF to all parties placing order on Gold</t>
  </si>
  <si>
    <t>Delivery to branch</t>
  </si>
  <si>
    <t>Damage check and inform SA of arrival</t>
  </si>
  <si>
    <t xml:space="preserve">Inform Accounts and apply for V55   </t>
  </si>
  <si>
    <t>Agree Delivery date with Service Department</t>
  </si>
  <si>
    <t xml:space="preserve"> Payment received</t>
  </si>
  <si>
    <t>Verify payment received</t>
  </si>
  <si>
    <t>Arrange logistics for delivery, liasing closly with the Customer</t>
  </si>
  <si>
    <t>Register in DCP/ delivery certificate to SA</t>
  </si>
  <si>
    <t>Send Thank you letter</t>
  </si>
  <si>
    <t>3 week call</t>
  </si>
  <si>
    <t>3 month call</t>
  </si>
  <si>
    <t>16)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</si>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</sst>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\ hh:mm:ss"/>
    <numFmt numFmtId="165" formatCode="dd/mm/yyyy\ hh:mm:ss"/>
  </numFmts>
  <fonts count="1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8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b/>
      <sz val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CB9CA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F29FC5"/>
        <bgColor indexed="64"/>
      </patternFill>
    </fill>
    <fill>
      <patternFill patternType="solid">
        <fgColor rgb="FF82D0F5"/>
        <bgColor indexed="64"/>
      </patternFill>
    </fill>
    <fill>
      <patternFill patternType="solid">
        <fgColor rgb="FFFFE69F"/>
        <bgColor indexed="64"/>
      </patternFill>
    </fill>
    <fill>
      <patternFill patternType="solid">
        <fgColor rgb="FFE6957B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77">
    <xf numFmtId="0" fontId="0" fillId="0" borderId="0" xfId="0"/>
    <xf numFmtId="0" fontId="1" fillId="2" borderId="0" xfId="0" applyFont="1" applyFill="1" applyAlignment="1" applyProtection="1"/>
    <xf numFmtId="0" fontId="1" fillId="2" borderId="0" xfId="0" applyFont="1" applyFill="1" applyProtection="1"/>
    <xf numFmtId="0" fontId="1" fillId="2" borderId="0" xfId="0" applyFont="1" applyFill="1" applyAlignment="1" applyProtection="1">
      <alignment horizontal="right" vertical="top"/>
    </xf>
    <xf numFmtId="0" fontId="2" fillId="2" borderId="0" xfId="0" applyFont="1" applyFill="1" applyAlignment="1" applyProtection="1"/>
    <xf numFmtId="0" fontId="1" fillId="0" borderId="0" xfId="0" applyFont="1" applyFill="1" applyProtection="1"/>
    <xf numFmtId="0" fontId="0" fillId="2" borderId="1" xfId="0" applyFill="1" applyBorder="1" applyAlignment="1" applyProtection="1">
      <alignment horizontal="right" vertical="center"/>
      <protection locked="0"/>
    </xf>
    <xf numFmtId="0" fontId="1" fillId="0" borderId="0" xfId="0" applyFont="1" applyFill="1" applyBorder="1" applyProtection="1"/>
    <xf numFmtId="0" fontId="0" fillId="0" borderId="0" xfId="0" applyFont="1" applyFill="1" applyBorder="1" applyProtection="1"/>
    <xf numFmtId="0" fontId="3" fillId="2" borderId="1" xfId="0" applyFont="1" applyFill="1" applyBorder="1" applyAlignment="1" applyProtection="1">
      <alignment horizontal="right" vertical="center"/>
    </xf>
    <xf numFmtId="0" fontId="0" fillId="2" borderId="0" xfId="0" applyFill="1" applyAlignment="1" applyProtection="1">
      <alignment horizontal="right" vertical="center"/>
    </xf>
    <xf numFmtId="0" fontId="0" fillId="2" borderId="0" xfId="0" applyFill="1" applyProtection="1"/>
    <xf numFmtId="0" fontId="9" fillId="2" borderId="0" xfId="0" applyFont="1" applyFill="1" applyAlignment="1" applyProtection="1">
      <alignment horizontal="right" vertical="top"/>
    </xf>
    <xf numFmtId="0" fontId="9" fillId="0" borderId="0" xfId="0" applyFont="1" applyFill="1" applyBorder="1" applyAlignment="1" applyProtection="1">
      <alignment horizontal="right" vertical="top"/>
    </xf>
    <xf numFmtId="0" fontId="9" fillId="0" borderId="0" xfId="0" applyFont="1" applyFill="1" applyAlignment="1" applyProtection="1">
      <alignment horizontal="right" vertical="top"/>
    </xf>
    <xf numFmtId="0" fontId="10" fillId="2" borderId="0" xfId="0" applyFont="1" applyFill="1" applyProtection="1"/>
    <xf numFmtId="0" fontId="11" fillId="2" borderId="0" xfId="0" applyFont="1" applyFill="1" applyProtection="1"/>
    <xf numFmtId="0" fontId="6" fillId="2" borderId="0" xfId="0" applyFont="1" applyFill="1" applyAlignment="1" applyProtection="1">
      <alignment horizontal="right" vertical="center"/>
    </xf>
    <xf numFmtId="0" fontId="11" fillId="2" borderId="0" xfId="0" applyFont="1" applyFill="1" applyProtection="1">
      <protection locked="0"/>
    </xf>
    <xf numFmtId="0" fontId="0" fillId="2" borderId="0" xfId="0" applyFill="1" applyBorder="1" applyProtection="1"/>
    <xf numFmtId="0" fontId="3" fillId="2" borderId="0" xfId="0" applyFont="1" applyFill="1" applyProtection="1"/>
    <xf numFmtId="0" fontId="7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9" fillId="5" borderId="5" xfId="0" applyFont="1" applyFill="1" applyBorder="1" applyAlignment="1" applyProtection="1"/>
    <xf numFmtId="0" fontId="14" fillId="2" borderId="0" xfId="0" applyFont="1" applyFill="1" applyProtection="1">
      <protection locked="0"/>
    </xf>
    <xf numFmtId="0" fontId="3" fillId="2" borderId="0" xfId="0" applyFont="1" applyFill="1" applyAlignment="1" applyProtection="1">
      <alignment horizontal="center" vertical="center"/>
    </xf>
    <xf numFmtId="0" fontId="7" fillId="2" borderId="0" xfId="0" applyFont="1" applyFill="1" applyAlignment="1" applyProtection="1">
      <alignment horizontal="right" vertical="center"/>
    </xf>
    <xf numFmtId="0" fontId="5" fillId="0" borderId="0" xfId="0" applyFont="1" applyFill="1" applyAlignment="1" applyProtection="1">
      <alignment vertical="center"/>
    </xf>
    <xf numFmtId="0" fontId="1" fillId="4" borderId="1" xfId="0" applyFont="1" applyFill="1" applyBorder="1" applyAlignment="1" applyProtection="1">
      <alignment vertical="center"/>
    </xf>
    <xf numFmtId="0" fontId="1" fillId="4" borderId="1" xfId="0" applyFont="1" applyFill="1" applyBorder="1" applyAlignment="1" applyProtection="1"/>
    <xf numFmtId="0" fontId="1" fillId="6" borderId="1" xfId="0" applyFont="1" applyFill="1" applyBorder="1" applyAlignment="1" applyProtection="1">
      <alignment vertical="center"/>
    </xf>
    <xf numFmtId="0" fontId="1" fillId="6" borderId="1" xfId="0" applyFont="1" applyFill="1" applyBorder="1" applyAlignment="1" applyProtection="1"/>
    <xf numFmtId="0" fontId="1" fillId="7" borderId="1" xfId="0" applyFont="1" applyFill="1" applyBorder="1" applyAlignment="1" applyProtection="1"/>
    <xf numFmtId="0" fontId="1" fillId="8" borderId="1" xfId="0" applyFont="1" applyFill="1" applyBorder="1" applyAlignment="1" applyProtection="1"/>
    <xf numFmtId="0" fontId="1" fillId="8" borderId="1" xfId="0" applyFont="1" applyFill="1" applyBorder="1" applyAlignment="1" applyProtection="1">
      <alignment vertical="center"/>
    </xf>
    <xf numFmtId="0" fontId="1" fillId="9" borderId="1" xfId="0" applyFont="1" applyFill="1" applyBorder="1" applyAlignment="1" applyProtection="1"/>
    <xf numFmtId="0" fontId="1" fillId="9" borderId="1" xfId="0" applyFont="1" applyFill="1" applyBorder="1" applyAlignment="1" applyProtection="1">
      <alignment vertical="center"/>
    </xf>
    <xf numFmtId="0" fontId="1" fillId="2" borderId="0" xfId="0" applyFont="1" applyFill="1" applyAlignment="1" applyProtection="1">
      <alignment horizontal="center"/>
    </xf>
    <xf numFmtId="165" fontId="0" fillId="2" borderId="4" xfId="0" applyNumberFormat="1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Alignment="1" applyProtection="1">
      <alignment horizontal="center"/>
    </xf>
    <xf numFmtId="0" fontId="0" fillId="2" borderId="0" xfId="0" applyFont="1" applyFill="1" applyBorder="1" applyAlignment="1" applyProtection="1">
      <alignment vertical="center"/>
    </xf>
    <xf numFmtId="0" fontId="0" fillId="0" borderId="0" xfId="0" applyProtection="1"/>
    <xf numFmtId="164" fontId="0" fillId="2" borderId="4" xfId="0" applyNumberFormat="1" applyFont="1" applyFill="1" applyBorder="1" applyAlignment="1" applyProtection="1">
      <alignment horizontal="center" vertical="center"/>
      <protection locked="0"/>
    </xf>
    <xf numFmtId="22" fontId="0" fillId="2" borderId="4" xfId="0" applyNumberFormat="1" applyFont="1" applyFill="1" applyBorder="1" applyAlignment="1" applyProtection="1">
      <alignment horizontal="center" vertical="center"/>
      <protection locked="0"/>
    </xf>
    <xf numFmtId="0" fontId="0" fillId="2" borderId="4" xfId="0" applyFont="1" applyFill="1" applyBorder="1" applyAlignment="1" applyProtection="1">
      <alignment horizontal="center" vertical="center"/>
      <protection locked="0"/>
    </xf>
    <xf numFmtId="22" fontId="0" fillId="2" borderId="4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 vertical="center"/>
    </xf>
    <xf numFmtId="0" fontId="9" fillId="8" borderId="1" xfId="0" applyFont="1" applyFill="1" applyBorder="1" applyAlignment="1" applyProtection="1">
      <alignment vertical="center"/>
    </xf>
    <xf numFmtId="0" fontId="9" fillId="8" borderId="1" xfId="0" applyFont="1" applyFill="1" applyBorder="1" applyAlignment="1" applyProtection="1"/>
    <xf numFmtId="0" fontId="9" fillId="6" borderId="1" xfId="0" applyFont="1" applyFill="1" applyBorder="1" applyAlignment="1" applyProtection="1"/>
    <xf numFmtId="0" fontId="9" fillId="4" borderId="1" xfId="0" applyFont="1" applyFill="1" applyBorder="1" applyAlignment="1" applyProtection="1">
      <alignment vertical="center"/>
    </xf>
    <xf numFmtId="0" fontId="9" fillId="0" borderId="1" xfId="0" applyFont="1" applyFill="1" applyBorder="1" applyAlignment="1" applyProtection="1">
      <alignment vertical="center"/>
    </xf>
    <xf numFmtId="0" fontId="9" fillId="3" borderId="1" xfId="0" applyFont="1" applyFill="1" applyBorder="1" applyAlignment="1" applyProtection="1"/>
    <xf numFmtId="0" fontId="9" fillId="0" borderId="1" xfId="0" applyFont="1" applyFill="1" applyBorder="1" applyAlignment="1" applyProtection="1"/>
    <xf numFmtId="0" fontId="9" fillId="9" borderId="1" xfId="0" applyFont="1" applyFill="1" applyBorder="1" applyAlignment="1" applyProtection="1"/>
    <xf numFmtId="0" fontId="9" fillId="7" borderId="1" xfId="0" applyFont="1" applyFill="1" applyBorder="1" applyAlignment="1" applyProtection="1"/>
    <xf numFmtId="0" fontId="9" fillId="3" borderId="1" xfId="0" applyFont="1" applyFill="1" applyBorder="1" applyAlignment="1" applyProtection="1">
      <alignment vertical="center"/>
    </xf>
    <xf numFmtId="0" fontId="9" fillId="6" borderId="1" xfId="0" applyFont="1" applyFill="1" applyBorder="1" applyAlignment="1" applyProtection="1">
      <alignment vertical="center"/>
    </xf>
    <xf numFmtId="0" fontId="9" fillId="9" borderId="1" xfId="0" applyFont="1" applyFill="1" applyBorder="1" applyAlignment="1" applyProtection="1">
      <alignment vertical="center"/>
    </xf>
    <xf numFmtId="0" fontId="1" fillId="2" borderId="0" xfId="0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center" vertical="center"/>
    </xf>
    <xf numFmtId="0" fontId="9" fillId="4" borderId="1" xfId="0" applyFont="1" applyFill="1" applyBorder="1" applyAlignment="1" applyProtection="1"/>
    <xf numFmtId="0" fontId="9" fillId="3" borderId="1" xfId="0" applyFont="1" applyFill="1" applyBorder="1" applyAlignment="1" applyProtection="1">
      <alignment vertical="center" wrapText="1"/>
    </xf>
    <xf numFmtId="0" fontId="4" fillId="2" borderId="0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 wrapText="1"/>
    </xf>
    <xf numFmtId="0" fontId="0" fillId="2" borderId="3" xfId="0" applyFill="1" applyBorder="1" applyAlignment="1" applyProtection="1">
      <alignment horizontal="center" vertical="center" wrapText="1"/>
    </xf>
    <xf numFmtId="0" fontId="8" fillId="0" borderId="2" xfId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wrapText="1"/>
    </xf>
    <xf numFmtId="0" fontId="8" fillId="2" borderId="0" xfId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wrapText="1"/>
    </xf>
    <xf numFmtId="0" fontId="0" fillId="2" borderId="3" xfId="0" applyFill="1" applyBorder="1" applyAlignment="1" applyProtection="1">
      <alignment horizontal="center" wrapText="1"/>
    </xf>
    <xf numFmtId="0" fontId="8" fillId="2" borderId="2" xfId="1" applyFill="1" applyBorder="1" applyAlignment="1" applyProtection="1">
      <alignment horizontal="center" vertical="center"/>
    </xf>
    <xf numFmtId="0" fontId="8" fillId="2" borderId="3" xfId="1" applyFill="1" applyBorder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82D0F5"/>
      <color rgb="FFE6957B"/>
      <color rgb="FFFFE69F"/>
      <color rgb="FFF29FC5"/>
      <color rgb="FFACB9CA"/>
      <color rgb="FFE9E8F3"/>
      <color rgb="FFC3C0DE"/>
      <color rgb="FF000000"/>
      <color rgb="FFB8B8B8"/>
      <color rgb="FFDBD9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73911</xdr:colOff>
      <xdr:row>0</xdr:row>
      <xdr:rowOff>48524</xdr:rowOff>
    </xdr:from>
    <xdr:to>
      <xdr:col>4</xdr:col>
      <xdr:colOff>714936</xdr:colOff>
      <xdr:row>1</xdr:row>
      <xdr:rowOff>213360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911" y="48524"/>
          <a:ext cx="7041825" cy="1079236"/>
        </a:xfrm>
        <a:prstGeom prst="rect">
          <a:avLst/>
        </a:prstGeom>
      </xdr:spPr>
    </xdr:pic>
    <xdr:clientData/>
  </xdr:twoCellAnchor>
  <xdr:twoCellAnchor>
    <xdr:from>
      <xdr:col>8</xdr:col>
      <xdr:colOff>106680</xdr:colOff>
      <xdr:row>1</xdr:row>
      <xdr:rowOff>114300</xdr:rowOff>
    </xdr:from>
    <xdr:to>
      <xdr:col>10</xdr:col>
      <xdr:colOff>147480</xdr:colOff>
      <xdr:row>3</xdr:row>
      <xdr:rowOff>166620</xdr:rowOff>
    </xdr:to>
    <xdr:sp macro="[0]!Sheet1.SalesLog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08720" y="1028700"/>
          <a:ext cx="1260000" cy="540000"/>
        </a:xfrm>
        <a:prstGeom prst="roundRect">
          <a:avLst>
            <a:gd name="adj" fmla="val 50000"/>
          </a:avLst>
        </a:prstGeom>
        <a:solidFill>
          <a:srgbClr val="ACB9CA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SALES</a:t>
          </a:r>
        </a:p>
      </xdr:txBody>
    </xdr:sp>
    <xdr:clientData/>
  </xdr:twoCellAnchor>
  <xdr:twoCellAnchor>
    <xdr:from>
      <xdr:col>8</xdr:col>
      <xdr:colOff>114300</xdr:colOff>
      <xdr:row>4</xdr:row>
      <xdr:rowOff>22860</xdr:rowOff>
    </xdr:from>
    <xdr:to>
      <xdr:col>10</xdr:col>
      <xdr:colOff>155100</xdr:colOff>
      <xdr:row>6</xdr:row>
      <xdr:rowOff>75180</xdr:rowOff>
    </xdr:to>
    <xdr:sp macro="[0]!Sheet1.PartsLogi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16340" y="1668780"/>
          <a:ext cx="1260000" cy="540000"/>
        </a:xfrm>
        <a:prstGeom prst="roundRect">
          <a:avLst>
            <a:gd name="adj" fmla="val 50000"/>
          </a:avLst>
        </a:prstGeom>
        <a:solidFill>
          <a:srgbClr val="82D0F5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PARTS</a:t>
          </a:r>
        </a:p>
      </xdr:txBody>
    </xdr:sp>
    <xdr:clientData/>
  </xdr:twoCellAnchor>
  <xdr:twoCellAnchor>
    <xdr:from>
      <xdr:col>10</xdr:col>
      <xdr:colOff>243840</xdr:colOff>
      <xdr:row>1</xdr:row>
      <xdr:rowOff>114300</xdr:rowOff>
    </xdr:from>
    <xdr:to>
      <xdr:col>12</xdr:col>
      <xdr:colOff>284640</xdr:colOff>
      <xdr:row>3</xdr:row>
      <xdr:rowOff>166620</xdr:rowOff>
    </xdr:to>
    <xdr:sp macro="[0]!Sheet1.ServiceLogi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165080" y="1028700"/>
          <a:ext cx="1260000" cy="540000"/>
        </a:xfrm>
        <a:prstGeom prst="roundRect">
          <a:avLst>
            <a:gd name="adj" fmla="val 50000"/>
          </a:avLst>
        </a:prstGeom>
        <a:solidFill>
          <a:srgbClr val="F29FC5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SERVICE</a:t>
          </a:r>
        </a:p>
      </xdr:txBody>
    </xdr:sp>
    <xdr:clientData/>
  </xdr:twoCellAnchor>
  <xdr:twoCellAnchor>
    <xdr:from>
      <xdr:col>10</xdr:col>
      <xdr:colOff>251460</xdr:colOff>
      <xdr:row>4</xdr:row>
      <xdr:rowOff>15240</xdr:rowOff>
    </xdr:from>
    <xdr:to>
      <xdr:col>12</xdr:col>
      <xdr:colOff>292260</xdr:colOff>
      <xdr:row>6</xdr:row>
      <xdr:rowOff>67560</xdr:rowOff>
    </xdr:to>
    <xdr:sp macro="[0]!Sheet1.FarmsightLogin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172700" y="1661160"/>
          <a:ext cx="1260000" cy="540000"/>
        </a:xfrm>
        <a:prstGeom prst="roundRect">
          <a:avLst>
            <a:gd name="adj" fmla="val 50000"/>
          </a:avLst>
        </a:prstGeom>
        <a:solidFill>
          <a:srgbClr val="FFE69F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FARMSIGHT</a:t>
          </a:r>
        </a:p>
      </xdr:txBody>
    </xdr:sp>
    <xdr:clientData/>
  </xdr:twoCellAnchor>
  <xdr:twoCellAnchor>
    <xdr:from>
      <xdr:col>8</xdr:col>
      <xdr:colOff>114300</xdr:colOff>
      <xdr:row>6</xdr:row>
      <xdr:rowOff>167640</xdr:rowOff>
    </xdr:from>
    <xdr:to>
      <xdr:col>10</xdr:col>
      <xdr:colOff>155100</xdr:colOff>
      <xdr:row>9</xdr:row>
      <xdr:rowOff>143760</xdr:rowOff>
    </xdr:to>
    <xdr:sp macro="[0]!Sheet1.FinanceAndAccountsLogi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816340" y="2301240"/>
          <a:ext cx="1260000" cy="540000"/>
        </a:xfrm>
        <a:prstGeom prst="roundRect">
          <a:avLst>
            <a:gd name="adj" fmla="val 50000"/>
          </a:avLst>
        </a:prstGeom>
        <a:solidFill>
          <a:srgbClr val="E6957B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FINANCE</a:t>
          </a:r>
          <a:r>
            <a:rPr lang="en-GB" sz="1100" b="1" baseline="0">
              <a:solidFill>
                <a:sysClr val="windowText" lastClr="000000"/>
              </a:solidFill>
            </a:rPr>
            <a:t> &amp; ACCOUNTS</a:t>
          </a:r>
          <a:endParaRPr lang="en-GB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251460</xdr:colOff>
      <xdr:row>6</xdr:row>
      <xdr:rowOff>175260</xdr:rowOff>
    </xdr:from>
    <xdr:to>
      <xdr:col>12</xdr:col>
      <xdr:colOff>292260</xdr:colOff>
      <xdr:row>9</xdr:row>
      <xdr:rowOff>151380</xdr:rowOff>
    </xdr:to>
    <xdr:sp macro="[0]!Sheet1.Detail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172700" y="2308860"/>
          <a:ext cx="1260000" cy="540000"/>
        </a:xfrm>
        <a:prstGeom prst="roundRect">
          <a:avLst>
            <a:gd name="adj" fmla="val 50000"/>
          </a:avLst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DETAILS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0</xdr:row>
      <xdr:rowOff>175260</xdr:rowOff>
    </xdr:from>
    <xdr:to>
      <xdr:col>6</xdr:col>
      <xdr:colOff>56040</xdr:colOff>
      <xdr:row>3</xdr:row>
      <xdr:rowOff>44700</xdr:rowOff>
    </xdr:to>
    <xdr:sp macro="[0]!Sheet1.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465320" y="175260"/>
          <a:ext cx="1260000" cy="540000"/>
        </a:xfrm>
        <a:prstGeom prst="roundRect">
          <a:avLst>
            <a:gd name="adj" fmla="val 50000"/>
          </a:avLst>
        </a:prstGeom>
        <a:solidFill>
          <a:schemeClr val="bg2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</xdr:row>
          <xdr:rowOff>8467</xdr:rowOff>
        </xdr:from>
        <xdr:to>
          <xdr:col>1</xdr:col>
          <xdr:colOff>0</xdr:colOff>
          <xdr:row>1</xdr:row>
          <xdr:rowOff>173567</xdr:rowOff>
        </xdr:to>
        <xdr:sp macro="" textlink="">
          <xdr:nvSpPr>
            <xdr:cNvPr id="2067" name="CheckBox1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2</xdr:row>
          <xdr:rowOff>8467</xdr:rowOff>
        </xdr:from>
        <xdr:to>
          <xdr:col>1</xdr:col>
          <xdr:colOff>0</xdr:colOff>
          <xdr:row>2</xdr:row>
          <xdr:rowOff>173567</xdr:rowOff>
        </xdr:to>
        <xdr:sp macro="" textlink="">
          <xdr:nvSpPr>
            <xdr:cNvPr id="2068" name="CheckBox2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3</xdr:row>
          <xdr:rowOff>8467</xdr:rowOff>
        </xdr:from>
        <xdr:to>
          <xdr:col>1</xdr:col>
          <xdr:colOff>0</xdr:colOff>
          <xdr:row>3</xdr:row>
          <xdr:rowOff>173567</xdr:rowOff>
        </xdr:to>
        <xdr:sp macro="" textlink="">
          <xdr:nvSpPr>
            <xdr:cNvPr id="2069" name="CheckBox3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4</xdr:row>
          <xdr:rowOff>8467</xdr:rowOff>
        </xdr:from>
        <xdr:to>
          <xdr:col>1</xdr:col>
          <xdr:colOff>0</xdr:colOff>
          <xdr:row>4</xdr:row>
          <xdr:rowOff>173567</xdr:rowOff>
        </xdr:to>
        <xdr:sp macro="" textlink="">
          <xdr:nvSpPr>
            <xdr:cNvPr id="2070" name="CheckBox4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5</xdr:row>
          <xdr:rowOff>8467</xdr:rowOff>
        </xdr:from>
        <xdr:to>
          <xdr:col>1</xdr:col>
          <xdr:colOff>0</xdr:colOff>
          <xdr:row>5</xdr:row>
          <xdr:rowOff>173567</xdr:rowOff>
        </xdr:to>
        <xdr:sp macro="" textlink="">
          <xdr:nvSpPr>
            <xdr:cNvPr id="2071" name="CheckBox5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6</xdr:row>
          <xdr:rowOff>8467</xdr:rowOff>
        </xdr:from>
        <xdr:to>
          <xdr:col>1</xdr:col>
          <xdr:colOff>0</xdr:colOff>
          <xdr:row>6</xdr:row>
          <xdr:rowOff>173567</xdr:rowOff>
        </xdr:to>
        <xdr:sp macro="" textlink="">
          <xdr:nvSpPr>
            <xdr:cNvPr id="2072" name="CheckBox6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7</xdr:row>
          <xdr:rowOff>8467</xdr:rowOff>
        </xdr:from>
        <xdr:to>
          <xdr:col>1</xdr:col>
          <xdr:colOff>0</xdr:colOff>
          <xdr:row>7</xdr:row>
          <xdr:rowOff>173567</xdr:rowOff>
        </xdr:to>
        <xdr:sp macro="" textlink="">
          <xdr:nvSpPr>
            <xdr:cNvPr id="2073" name="CheckBox7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2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8</xdr:row>
          <xdr:rowOff>8467</xdr:rowOff>
        </xdr:from>
        <xdr:to>
          <xdr:col>1</xdr:col>
          <xdr:colOff>0</xdr:colOff>
          <xdr:row>8</xdr:row>
          <xdr:rowOff>173567</xdr:rowOff>
        </xdr:to>
        <xdr:sp macro="" textlink="">
          <xdr:nvSpPr>
            <xdr:cNvPr id="2074" name="CheckBox8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2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9</xdr:row>
          <xdr:rowOff>8467</xdr:rowOff>
        </xdr:from>
        <xdr:to>
          <xdr:col>1</xdr:col>
          <xdr:colOff>0</xdr:colOff>
          <xdr:row>9</xdr:row>
          <xdr:rowOff>173567</xdr:rowOff>
        </xdr:to>
        <xdr:sp macro="" textlink="">
          <xdr:nvSpPr>
            <xdr:cNvPr id="2075" name="CheckBox9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10</xdr:row>
          <xdr:rowOff>8467</xdr:rowOff>
        </xdr:from>
        <xdr:to>
          <xdr:col>1</xdr:col>
          <xdr:colOff>0</xdr:colOff>
          <xdr:row>10</xdr:row>
          <xdr:rowOff>173567</xdr:rowOff>
        </xdr:to>
        <xdr:sp macro="" textlink="">
          <xdr:nvSpPr>
            <xdr:cNvPr id="2076" name="CheckBox10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2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11</xdr:row>
          <xdr:rowOff>8467</xdr:rowOff>
        </xdr:from>
        <xdr:to>
          <xdr:col>1</xdr:col>
          <xdr:colOff>0</xdr:colOff>
          <xdr:row>11</xdr:row>
          <xdr:rowOff>173567</xdr:rowOff>
        </xdr:to>
        <xdr:sp macro="" textlink="">
          <xdr:nvSpPr>
            <xdr:cNvPr id="2077" name="CheckBox11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2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12</xdr:row>
          <xdr:rowOff>8467</xdr:rowOff>
        </xdr:from>
        <xdr:to>
          <xdr:col>1</xdr:col>
          <xdr:colOff>0</xdr:colOff>
          <xdr:row>12</xdr:row>
          <xdr:rowOff>173567</xdr:rowOff>
        </xdr:to>
        <xdr:sp macro="" textlink="">
          <xdr:nvSpPr>
            <xdr:cNvPr id="2078" name="CheckBox12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2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13</xdr:row>
          <xdr:rowOff>8467</xdr:rowOff>
        </xdr:from>
        <xdr:to>
          <xdr:col>1</xdr:col>
          <xdr:colOff>0</xdr:colOff>
          <xdr:row>13</xdr:row>
          <xdr:rowOff>173567</xdr:rowOff>
        </xdr:to>
        <xdr:sp macro="" textlink="">
          <xdr:nvSpPr>
            <xdr:cNvPr id="2079" name="CheckBox13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2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14</xdr:row>
          <xdr:rowOff>8467</xdr:rowOff>
        </xdr:from>
        <xdr:to>
          <xdr:col>1</xdr:col>
          <xdr:colOff>0</xdr:colOff>
          <xdr:row>14</xdr:row>
          <xdr:rowOff>173567</xdr:rowOff>
        </xdr:to>
        <xdr:sp macro="" textlink="">
          <xdr:nvSpPr>
            <xdr:cNvPr id="2080" name="CheckBox14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2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4762</xdr:colOff>
      <xdr:row>1</xdr:row>
      <xdr:rowOff>0</xdr:rowOff>
    </xdr:from>
    <xdr:to>
      <xdr:col>7</xdr:col>
      <xdr:colOff>1264762</xdr:colOff>
      <xdr:row>3</xdr:row>
      <xdr:rowOff>172335</xdr:rowOff>
    </xdr:to>
    <xdr:sp macro="[0]!Sheet1.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790622" y="182880"/>
          <a:ext cx="1260000" cy="538095"/>
        </a:xfrm>
        <a:prstGeom prst="roundRect">
          <a:avLst>
            <a:gd name="adj" fmla="val 50000"/>
          </a:avLst>
        </a:prstGeom>
        <a:solidFill>
          <a:schemeClr val="bg2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1354667</xdr:colOff>
          <xdr:row>6</xdr:row>
          <xdr:rowOff>46567</xdr:rowOff>
        </xdr:from>
        <xdr:to>
          <xdr:col>11</xdr:col>
          <xdr:colOff>16933</xdr:colOff>
          <xdr:row>7</xdr:row>
          <xdr:rowOff>143933</xdr:rowOff>
        </xdr:to>
        <xdr:sp macro="" textlink="">
          <xdr:nvSpPr>
            <xdr:cNvPr id="2081" name="TextBox1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2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</xdr:colOff>
      <xdr:row>1</xdr:row>
      <xdr:rowOff>15240</xdr:rowOff>
    </xdr:from>
    <xdr:to>
      <xdr:col>7</xdr:col>
      <xdr:colOff>1275240</xdr:colOff>
      <xdr:row>4</xdr:row>
      <xdr:rowOff>6600</xdr:rowOff>
    </xdr:to>
    <xdr:sp macro="[0]!Sheet1.Hom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444740" y="198120"/>
          <a:ext cx="1260000" cy="540000"/>
        </a:xfrm>
        <a:prstGeom prst="roundRect">
          <a:avLst>
            <a:gd name="adj" fmla="val 50000"/>
          </a:avLst>
        </a:prstGeom>
        <a:solidFill>
          <a:schemeClr val="bg2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2</xdr:row>
          <xdr:rowOff>8467</xdr:rowOff>
        </xdr:from>
        <xdr:to>
          <xdr:col>1</xdr:col>
          <xdr:colOff>0</xdr:colOff>
          <xdr:row>2</xdr:row>
          <xdr:rowOff>173567</xdr:rowOff>
        </xdr:to>
        <xdr:sp macro="" textlink="">
          <xdr:nvSpPr>
            <xdr:cNvPr id="3116" name="CheckBox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3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3</xdr:row>
          <xdr:rowOff>8467</xdr:rowOff>
        </xdr:from>
        <xdr:to>
          <xdr:col>1</xdr:col>
          <xdr:colOff>0</xdr:colOff>
          <xdr:row>3</xdr:row>
          <xdr:rowOff>173567</xdr:rowOff>
        </xdr:to>
        <xdr:sp macro="" textlink="">
          <xdr:nvSpPr>
            <xdr:cNvPr id="3117" name="CheckBox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3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4</xdr:row>
          <xdr:rowOff>8467</xdr:rowOff>
        </xdr:from>
        <xdr:to>
          <xdr:col>1</xdr:col>
          <xdr:colOff>0</xdr:colOff>
          <xdr:row>4</xdr:row>
          <xdr:rowOff>173567</xdr:rowOff>
        </xdr:to>
        <xdr:sp macro="" textlink="">
          <xdr:nvSpPr>
            <xdr:cNvPr id="3118" name="CheckBox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3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5</xdr:row>
          <xdr:rowOff>8467</xdr:rowOff>
        </xdr:from>
        <xdr:to>
          <xdr:col>1</xdr:col>
          <xdr:colOff>0</xdr:colOff>
          <xdr:row>5</xdr:row>
          <xdr:rowOff>173567</xdr:rowOff>
        </xdr:to>
        <xdr:sp macro="" textlink="">
          <xdr:nvSpPr>
            <xdr:cNvPr id="3119" name="CheckBox5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6</xdr:row>
          <xdr:rowOff>8467</xdr:rowOff>
        </xdr:from>
        <xdr:to>
          <xdr:col>1</xdr:col>
          <xdr:colOff>0</xdr:colOff>
          <xdr:row>6</xdr:row>
          <xdr:rowOff>173567</xdr:rowOff>
        </xdr:to>
        <xdr:sp macro="" textlink="">
          <xdr:nvSpPr>
            <xdr:cNvPr id="3120" name="CheckBox6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3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173567</xdr:colOff>
          <xdr:row>1</xdr:row>
          <xdr:rowOff>0</xdr:rowOff>
        </xdr:from>
        <xdr:to>
          <xdr:col>0</xdr:col>
          <xdr:colOff>334433</xdr:colOff>
          <xdr:row>1</xdr:row>
          <xdr:rowOff>169333</xdr:rowOff>
        </xdr:to>
        <xdr:sp macro="" textlink="">
          <xdr:nvSpPr>
            <xdr:cNvPr id="3121" name="CheckBox1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3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1363133</xdr:colOff>
          <xdr:row>6</xdr:row>
          <xdr:rowOff>55033</xdr:rowOff>
        </xdr:from>
        <xdr:to>
          <xdr:col>11</xdr:col>
          <xdr:colOff>0</xdr:colOff>
          <xdr:row>7</xdr:row>
          <xdr:rowOff>152400</xdr:rowOff>
        </xdr:to>
        <xdr:sp macro="" textlink="">
          <xdr:nvSpPr>
            <xdr:cNvPr id="3126" name="TextBox1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3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</xdr:row>
          <xdr:rowOff>8467</xdr:rowOff>
        </xdr:from>
        <xdr:to>
          <xdr:col>1</xdr:col>
          <xdr:colOff>0</xdr:colOff>
          <xdr:row>1</xdr:row>
          <xdr:rowOff>173567</xdr:rowOff>
        </xdr:to>
        <xdr:sp macro="" textlink="">
          <xdr:nvSpPr>
            <xdr:cNvPr id="4097" name="Check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2</xdr:row>
          <xdr:rowOff>8467</xdr:rowOff>
        </xdr:from>
        <xdr:to>
          <xdr:col>1</xdr:col>
          <xdr:colOff>0</xdr:colOff>
          <xdr:row>2</xdr:row>
          <xdr:rowOff>173567</xdr:rowOff>
        </xdr:to>
        <xdr:sp macro="" textlink="">
          <xdr:nvSpPr>
            <xdr:cNvPr id="4098" name="CheckBox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3</xdr:row>
          <xdr:rowOff>8467</xdr:rowOff>
        </xdr:from>
        <xdr:to>
          <xdr:col>1</xdr:col>
          <xdr:colOff>0</xdr:colOff>
          <xdr:row>3</xdr:row>
          <xdr:rowOff>173567</xdr:rowOff>
        </xdr:to>
        <xdr:sp macro="" textlink="">
          <xdr:nvSpPr>
            <xdr:cNvPr id="4099" name="CheckBox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45720</xdr:colOff>
      <xdr:row>1</xdr:row>
      <xdr:rowOff>15240</xdr:rowOff>
    </xdr:from>
    <xdr:to>
      <xdr:col>7</xdr:col>
      <xdr:colOff>1305720</xdr:colOff>
      <xdr:row>4</xdr:row>
      <xdr:rowOff>6600</xdr:rowOff>
    </xdr:to>
    <xdr:sp macro="[0]!Sheet1.Hom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347460" y="198120"/>
          <a:ext cx="1260000" cy="540000"/>
        </a:xfrm>
        <a:prstGeom prst="roundRect">
          <a:avLst>
            <a:gd name="adj" fmla="val 50000"/>
          </a:avLst>
        </a:prstGeom>
        <a:solidFill>
          <a:schemeClr val="bg2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1350433</xdr:colOff>
          <xdr:row>6</xdr:row>
          <xdr:rowOff>46567</xdr:rowOff>
        </xdr:from>
        <xdr:to>
          <xdr:col>11</xdr:col>
          <xdr:colOff>8467</xdr:colOff>
          <xdr:row>7</xdr:row>
          <xdr:rowOff>143933</xdr:rowOff>
        </xdr:to>
        <xdr:sp macro="" textlink="">
          <xdr:nvSpPr>
            <xdr:cNvPr id="4103" name="TextBox1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</xdr:row>
          <xdr:rowOff>8467</xdr:rowOff>
        </xdr:from>
        <xdr:to>
          <xdr:col>1</xdr:col>
          <xdr:colOff>0</xdr:colOff>
          <xdr:row>1</xdr:row>
          <xdr:rowOff>173567</xdr:rowOff>
        </xdr:to>
        <xdr:sp macro="" textlink="">
          <xdr:nvSpPr>
            <xdr:cNvPr id="5121" name="Check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2</xdr:row>
          <xdr:rowOff>8467</xdr:rowOff>
        </xdr:from>
        <xdr:to>
          <xdr:col>1</xdr:col>
          <xdr:colOff>0</xdr:colOff>
          <xdr:row>2</xdr:row>
          <xdr:rowOff>173567</xdr:rowOff>
        </xdr:to>
        <xdr:sp macro="" textlink="">
          <xdr:nvSpPr>
            <xdr:cNvPr id="5122" name="CheckBox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3</xdr:row>
          <xdr:rowOff>8467</xdr:rowOff>
        </xdr:from>
        <xdr:to>
          <xdr:col>1</xdr:col>
          <xdr:colOff>0</xdr:colOff>
          <xdr:row>3</xdr:row>
          <xdr:rowOff>173567</xdr:rowOff>
        </xdr:to>
        <xdr:sp macro="" textlink="">
          <xdr:nvSpPr>
            <xdr:cNvPr id="5123" name="CheckBox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4</xdr:row>
          <xdr:rowOff>8467</xdr:rowOff>
        </xdr:from>
        <xdr:to>
          <xdr:col>1</xdr:col>
          <xdr:colOff>0</xdr:colOff>
          <xdr:row>4</xdr:row>
          <xdr:rowOff>173567</xdr:rowOff>
        </xdr:to>
        <xdr:sp macro="" textlink="">
          <xdr:nvSpPr>
            <xdr:cNvPr id="5124" name="CheckBox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5</xdr:row>
          <xdr:rowOff>8467</xdr:rowOff>
        </xdr:from>
        <xdr:to>
          <xdr:col>1</xdr:col>
          <xdr:colOff>0</xdr:colOff>
          <xdr:row>5</xdr:row>
          <xdr:rowOff>173567</xdr:rowOff>
        </xdr:to>
        <xdr:sp macro="" textlink="">
          <xdr:nvSpPr>
            <xdr:cNvPr id="5125" name="CheckBox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6</xdr:row>
          <xdr:rowOff>8467</xdr:rowOff>
        </xdr:from>
        <xdr:to>
          <xdr:col>1</xdr:col>
          <xdr:colOff>0</xdr:colOff>
          <xdr:row>6</xdr:row>
          <xdr:rowOff>173567</xdr:rowOff>
        </xdr:to>
        <xdr:sp macro="" textlink="">
          <xdr:nvSpPr>
            <xdr:cNvPr id="5126" name="CheckBox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7</xdr:row>
          <xdr:rowOff>8467</xdr:rowOff>
        </xdr:from>
        <xdr:to>
          <xdr:col>1</xdr:col>
          <xdr:colOff>0</xdr:colOff>
          <xdr:row>7</xdr:row>
          <xdr:rowOff>173567</xdr:rowOff>
        </xdr:to>
        <xdr:sp macro="" textlink="">
          <xdr:nvSpPr>
            <xdr:cNvPr id="5127" name="CheckBox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8</xdr:row>
          <xdr:rowOff>8467</xdr:rowOff>
        </xdr:from>
        <xdr:to>
          <xdr:col>1</xdr:col>
          <xdr:colOff>0</xdr:colOff>
          <xdr:row>8</xdr:row>
          <xdr:rowOff>173567</xdr:rowOff>
        </xdr:to>
        <xdr:sp macro="" textlink="">
          <xdr:nvSpPr>
            <xdr:cNvPr id="5128" name="CheckBox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9</xdr:row>
          <xdr:rowOff>8467</xdr:rowOff>
        </xdr:from>
        <xdr:to>
          <xdr:col>1</xdr:col>
          <xdr:colOff>0</xdr:colOff>
          <xdr:row>9</xdr:row>
          <xdr:rowOff>173567</xdr:rowOff>
        </xdr:to>
        <xdr:sp macro="" textlink="">
          <xdr:nvSpPr>
            <xdr:cNvPr id="5129" name="CheckBox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10</xdr:row>
          <xdr:rowOff>8467</xdr:rowOff>
        </xdr:from>
        <xdr:to>
          <xdr:col>1</xdr:col>
          <xdr:colOff>0</xdr:colOff>
          <xdr:row>10</xdr:row>
          <xdr:rowOff>173567</xdr:rowOff>
        </xdr:to>
        <xdr:sp macro="" textlink="">
          <xdr:nvSpPr>
            <xdr:cNvPr id="5130" name="CheckBox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11</xdr:row>
          <xdr:rowOff>8467</xdr:rowOff>
        </xdr:from>
        <xdr:to>
          <xdr:col>1</xdr:col>
          <xdr:colOff>0</xdr:colOff>
          <xdr:row>11</xdr:row>
          <xdr:rowOff>173567</xdr:rowOff>
        </xdr:to>
        <xdr:sp macro="" textlink="">
          <xdr:nvSpPr>
            <xdr:cNvPr id="5132" name="CheckBox11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12</xdr:row>
          <xdr:rowOff>8467</xdr:rowOff>
        </xdr:from>
        <xdr:to>
          <xdr:col>1</xdr:col>
          <xdr:colOff>0</xdr:colOff>
          <xdr:row>12</xdr:row>
          <xdr:rowOff>173567</xdr:rowOff>
        </xdr:to>
        <xdr:sp macro="" textlink="">
          <xdr:nvSpPr>
            <xdr:cNvPr id="5133" name="CheckBox12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13</xdr:row>
          <xdr:rowOff>8467</xdr:rowOff>
        </xdr:from>
        <xdr:to>
          <xdr:col>1</xdr:col>
          <xdr:colOff>0</xdr:colOff>
          <xdr:row>13</xdr:row>
          <xdr:rowOff>173567</xdr:rowOff>
        </xdr:to>
        <xdr:sp macro="" textlink="">
          <xdr:nvSpPr>
            <xdr:cNvPr id="5134" name="CheckBox13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14</xdr:row>
          <xdr:rowOff>8467</xdr:rowOff>
        </xdr:from>
        <xdr:to>
          <xdr:col>1</xdr:col>
          <xdr:colOff>0</xdr:colOff>
          <xdr:row>14</xdr:row>
          <xdr:rowOff>173567</xdr:rowOff>
        </xdr:to>
        <xdr:sp macro="" textlink="">
          <xdr:nvSpPr>
            <xdr:cNvPr id="5135" name="CheckBox14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15</xdr:row>
          <xdr:rowOff>8467</xdr:rowOff>
        </xdr:from>
        <xdr:to>
          <xdr:col>1</xdr:col>
          <xdr:colOff>0</xdr:colOff>
          <xdr:row>15</xdr:row>
          <xdr:rowOff>173567</xdr:rowOff>
        </xdr:to>
        <xdr:sp macro="" textlink="">
          <xdr:nvSpPr>
            <xdr:cNvPr id="5136" name="CheckBox15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16</xdr:row>
          <xdr:rowOff>8467</xdr:rowOff>
        </xdr:from>
        <xdr:to>
          <xdr:col>1</xdr:col>
          <xdr:colOff>0</xdr:colOff>
          <xdr:row>16</xdr:row>
          <xdr:rowOff>173567</xdr:rowOff>
        </xdr:to>
        <xdr:sp macro="" textlink="">
          <xdr:nvSpPr>
            <xdr:cNvPr id="5137" name="CheckBox16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17</xdr:row>
          <xdr:rowOff>8467</xdr:rowOff>
        </xdr:from>
        <xdr:to>
          <xdr:col>1</xdr:col>
          <xdr:colOff>0</xdr:colOff>
          <xdr:row>17</xdr:row>
          <xdr:rowOff>173567</xdr:rowOff>
        </xdr:to>
        <xdr:sp macro="" textlink="">
          <xdr:nvSpPr>
            <xdr:cNvPr id="5138" name="CheckBox17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18</xdr:row>
          <xdr:rowOff>8467</xdr:rowOff>
        </xdr:from>
        <xdr:to>
          <xdr:col>1</xdr:col>
          <xdr:colOff>0</xdr:colOff>
          <xdr:row>18</xdr:row>
          <xdr:rowOff>173567</xdr:rowOff>
        </xdr:to>
        <xdr:sp macro="" textlink="">
          <xdr:nvSpPr>
            <xdr:cNvPr id="5140" name="CheckBox18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19</xdr:row>
          <xdr:rowOff>8467</xdr:rowOff>
        </xdr:from>
        <xdr:to>
          <xdr:col>1</xdr:col>
          <xdr:colOff>0</xdr:colOff>
          <xdr:row>19</xdr:row>
          <xdr:rowOff>173567</xdr:rowOff>
        </xdr:to>
        <xdr:sp macro="" textlink="">
          <xdr:nvSpPr>
            <xdr:cNvPr id="5141" name="CheckBox1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20</xdr:row>
          <xdr:rowOff>8467</xdr:rowOff>
        </xdr:from>
        <xdr:to>
          <xdr:col>1</xdr:col>
          <xdr:colOff>0</xdr:colOff>
          <xdr:row>20</xdr:row>
          <xdr:rowOff>173567</xdr:rowOff>
        </xdr:to>
        <xdr:sp macro="" textlink="">
          <xdr:nvSpPr>
            <xdr:cNvPr id="5142" name="CheckBox2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22860</xdr:colOff>
      <xdr:row>1</xdr:row>
      <xdr:rowOff>7620</xdr:rowOff>
    </xdr:from>
    <xdr:to>
      <xdr:col>7</xdr:col>
      <xdr:colOff>1282860</xdr:colOff>
      <xdr:row>3</xdr:row>
      <xdr:rowOff>181860</xdr:rowOff>
    </xdr:to>
    <xdr:sp macro="[0]!Sheet1.Home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7680960" y="190500"/>
          <a:ext cx="1260000" cy="540000"/>
        </a:xfrm>
        <a:prstGeom prst="roundRect">
          <a:avLst>
            <a:gd name="adj" fmla="val 50000"/>
          </a:avLst>
        </a:prstGeom>
        <a:solidFill>
          <a:schemeClr val="bg2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1350433</xdr:colOff>
          <xdr:row>6</xdr:row>
          <xdr:rowOff>55033</xdr:rowOff>
        </xdr:from>
        <xdr:to>
          <xdr:col>11</xdr:col>
          <xdr:colOff>8467</xdr:colOff>
          <xdr:row>7</xdr:row>
          <xdr:rowOff>152400</xdr:rowOff>
        </xdr:to>
        <xdr:sp macro="" textlink="">
          <xdr:nvSpPr>
            <xdr:cNvPr id="5163" name="TextBox1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1</xdr:row>
          <xdr:rowOff>8467</xdr:rowOff>
        </xdr:from>
        <xdr:to>
          <xdr:col>0</xdr:col>
          <xdr:colOff>334433</xdr:colOff>
          <xdr:row>1</xdr:row>
          <xdr:rowOff>169333</xdr:rowOff>
        </xdr:to>
        <xdr:sp macro="" textlink="">
          <xdr:nvSpPr>
            <xdr:cNvPr id="6145" name="Check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2</xdr:row>
          <xdr:rowOff>8467</xdr:rowOff>
        </xdr:from>
        <xdr:to>
          <xdr:col>0</xdr:col>
          <xdr:colOff>334433</xdr:colOff>
          <xdr:row>2</xdr:row>
          <xdr:rowOff>169333</xdr:rowOff>
        </xdr:to>
        <xdr:sp macro="" textlink="">
          <xdr:nvSpPr>
            <xdr:cNvPr id="6146" name="CheckBox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30480</xdr:colOff>
      <xdr:row>1</xdr:row>
      <xdr:rowOff>38100</xdr:rowOff>
    </xdr:from>
    <xdr:to>
      <xdr:col>7</xdr:col>
      <xdr:colOff>1290480</xdr:colOff>
      <xdr:row>4</xdr:row>
      <xdr:rowOff>29460</xdr:rowOff>
    </xdr:to>
    <xdr:sp macro="[0]!Sheet1.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8488680" y="220980"/>
          <a:ext cx="1260000" cy="540000"/>
        </a:xfrm>
        <a:prstGeom prst="roundRect">
          <a:avLst>
            <a:gd name="adj" fmla="val 50000"/>
          </a:avLst>
        </a:prstGeom>
        <a:solidFill>
          <a:schemeClr val="bg2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4</xdr:row>
          <xdr:rowOff>8467</xdr:rowOff>
        </xdr:from>
        <xdr:to>
          <xdr:col>0</xdr:col>
          <xdr:colOff>334433</xdr:colOff>
          <xdr:row>4</xdr:row>
          <xdr:rowOff>169333</xdr:rowOff>
        </xdr:to>
        <xdr:sp macro="" textlink="">
          <xdr:nvSpPr>
            <xdr:cNvPr id="6158" name="CheckBox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5</xdr:row>
          <xdr:rowOff>8467</xdr:rowOff>
        </xdr:from>
        <xdr:to>
          <xdr:col>0</xdr:col>
          <xdr:colOff>334433</xdr:colOff>
          <xdr:row>5</xdr:row>
          <xdr:rowOff>169333</xdr:rowOff>
        </xdr:to>
        <xdr:sp macro="" textlink="">
          <xdr:nvSpPr>
            <xdr:cNvPr id="6159" name="CheckBox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6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6</xdr:row>
          <xdr:rowOff>8467</xdr:rowOff>
        </xdr:from>
        <xdr:to>
          <xdr:col>0</xdr:col>
          <xdr:colOff>334433</xdr:colOff>
          <xdr:row>6</xdr:row>
          <xdr:rowOff>169333</xdr:rowOff>
        </xdr:to>
        <xdr:sp macro="" textlink="">
          <xdr:nvSpPr>
            <xdr:cNvPr id="6160" name="CheckBox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6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182033</xdr:colOff>
          <xdr:row>3</xdr:row>
          <xdr:rowOff>8467</xdr:rowOff>
        </xdr:from>
        <xdr:to>
          <xdr:col>0</xdr:col>
          <xdr:colOff>334433</xdr:colOff>
          <xdr:row>3</xdr:row>
          <xdr:rowOff>169333</xdr:rowOff>
        </xdr:to>
        <xdr:sp macro="" textlink="">
          <xdr:nvSpPr>
            <xdr:cNvPr id="6161" name="CheckBox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6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1363133</xdr:colOff>
          <xdr:row>6</xdr:row>
          <xdr:rowOff>46567</xdr:rowOff>
        </xdr:from>
        <xdr:to>
          <xdr:col>11</xdr:col>
          <xdr:colOff>21167</xdr:colOff>
          <xdr:row>7</xdr:row>
          <xdr:rowOff>143933</xdr:rowOff>
        </xdr:to>
        <xdr:sp macro="" textlink="">
          <xdr:nvSpPr>
            <xdr:cNvPr id="6163" name="TextBox1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6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2.xml"/><Relationship Id="rId20" Type="http://schemas.openxmlformats.org/officeDocument/2006/relationships/image" Target="../media/image3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2.emf"/><Relationship Id="rId15" Type="http://schemas.openxmlformats.org/officeDocument/2006/relationships/control" Target="../activeX/activeX11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18.xml"/><Relationship Id="rId12" Type="http://schemas.openxmlformats.org/officeDocument/2006/relationships/image" Target="../media/image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control" Target="../activeX/activeX22.xml"/><Relationship Id="rId5" Type="http://schemas.openxmlformats.org/officeDocument/2006/relationships/image" Target="../media/image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6.xml"/><Relationship Id="rId9" Type="http://schemas.openxmlformats.org/officeDocument/2006/relationships/control" Target="../activeX/activeX2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6" Type="http://schemas.openxmlformats.org/officeDocument/2006/relationships/control" Target="../activeX/activeX25.xml"/><Relationship Id="rId5" Type="http://schemas.openxmlformats.org/officeDocument/2006/relationships/control" Target="../activeX/activeX24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control" Target="../activeX/activeX36.xml"/><Relationship Id="rId18" Type="http://schemas.openxmlformats.org/officeDocument/2006/relationships/control" Target="../activeX/activeX41.xml"/><Relationship Id="rId3" Type="http://schemas.openxmlformats.org/officeDocument/2006/relationships/control" Target="../activeX/activeX27.xml"/><Relationship Id="rId21" Type="http://schemas.openxmlformats.org/officeDocument/2006/relationships/control" Target="../activeX/activeX44.xml"/><Relationship Id="rId7" Type="http://schemas.openxmlformats.org/officeDocument/2006/relationships/control" Target="../activeX/activeX30.xml"/><Relationship Id="rId12" Type="http://schemas.openxmlformats.org/officeDocument/2006/relationships/control" Target="../activeX/activeX35.xml"/><Relationship Id="rId17" Type="http://schemas.openxmlformats.org/officeDocument/2006/relationships/control" Target="../activeX/activeX40.xml"/><Relationship Id="rId25" Type="http://schemas.openxmlformats.org/officeDocument/2006/relationships/image" Target="../media/image3.emf"/><Relationship Id="rId2" Type="http://schemas.openxmlformats.org/officeDocument/2006/relationships/vmlDrawing" Target="../drawings/vmlDrawing4.vml"/><Relationship Id="rId16" Type="http://schemas.openxmlformats.org/officeDocument/2006/relationships/control" Target="../activeX/activeX39.xml"/><Relationship Id="rId20" Type="http://schemas.openxmlformats.org/officeDocument/2006/relationships/control" Target="../activeX/activeX43.xml"/><Relationship Id="rId1" Type="http://schemas.openxmlformats.org/officeDocument/2006/relationships/drawing" Target="../drawings/drawing6.xml"/><Relationship Id="rId6" Type="http://schemas.openxmlformats.org/officeDocument/2006/relationships/control" Target="../activeX/activeX29.xml"/><Relationship Id="rId11" Type="http://schemas.openxmlformats.org/officeDocument/2006/relationships/control" Target="../activeX/activeX34.xml"/><Relationship Id="rId24" Type="http://schemas.openxmlformats.org/officeDocument/2006/relationships/control" Target="../activeX/activeX47.xml"/><Relationship Id="rId5" Type="http://schemas.openxmlformats.org/officeDocument/2006/relationships/control" Target="../activeX/activeX28.xml"/><Relationship Id="rId15" Type="http://schemas.openxmlformats.org/officeDocument/2006/relationships/control" Target="../activeX/activeX38.xml"/><Relationship Id="rId23" Type="http://schemas.openxmlformats.org/officeDocument/2006/relationships/control" Target="../activeX/activeX46.xml"/><Relationship Id="rId10" Type="http://schemas.openxmlformats.org/officeDocument/2006/relationships/control" Target="../activeX/activeX33.xml"/><Relationship Id="rId19" Type="http://schemas.openxmlformats.org/officeDocument/2006/relationships/control" Target="../activeX/activeX42.xml"/><Relationship Id="rId4" Type="http://schemas.openxmlformats.org/officeDocument/2006/relationships/image" Target="../media/image2.emf"/><Relationship Id="rId9" Type="http://schemas.openxmlformats.org/officeDocument/2006/relationships/control" Target="../activeX/activeX32.xml"/><Relationship Id="rId14" Type="http://schemas.openxmlformats.org/officeDocument/2006/relationships/control" Target="../activeX/activeX37.xml"/><Relationship Id="rId22" Type="http://schemas.openxmlformats.org/officeDocument/2006/relationships/control" Target="../activeX/activeX4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3" Type="http://schemas.openxmlformats.org/officeDocument/2006/relationships/vmlDrawing" Target="../drawings/vmlDrawing5.vml"/><Relationship Id="rId7" Type="http://schemas.openxmlformats.org/officeDocument/2006/relationships/control" Target="../activeX/activeX50.xml"/><Relationship Id="rId12" Type="http://schemas.openxmlformats.org/officeDocument/2006/relationships/image" Target="../media/image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9.xml"/><Relationship Id="rId11" Type="http://schemas.openxmlformats.org/officeDocument/2006/relationships/control" Target="../activeX/activeX54.xml"/><Relationship Id="rId5" Type="http://schemas.openxmlformats.org/officeDocument/2006/relationships/image" Target="../media/image4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48.xml"/><Relationship Id="rId9" Type="http://schemas.openxmlformats.org/officeDocument/2006/relationships/control" Target="../activeX/activeX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  <pageSetUpPr autoPageBreaks="0"/>
  </sheetPr>
  <dimension ref="A1:G61"/>
  <sheetViews>
    <sheetView showGridLines="0" showRowColHeaders="0" tabSelected="1" zoomScaleNormal="100" workbookViewId="0">
      <selection activeCell="L13" sqref="L13"/>
    </sheetView>
  </sheetViews>
  <sheetFormatPr defaultColWidth="8.87890625" defaultRowHeight="14.35" x14ac:dyDescent="0.5"/>
  <cols>
    <col min="1" max="1" width="3.41015625" style="3" customWidth="1"/>
    <col min="2" max="2" width="3.3515625" style="2" customWidth="1"/>
    <col min="3" max="3" width="55.76171875" style="2" customWidth="1"/>
    <col min="4" max="4" width="30.76171875" style="2" customWidth="1"/>
    <col min="5" max="5" width="15.52734375" style="2" customWidth="1"/>
    <col min="6" max="6" width="9.1171875" style="2" customWidth="1"/>
    <col min="7" max="7" width="8.87890625" style="2" hidden="1" customWidth="1"/>
    <col min="8" max="16384" width="8.87890625" style="2"/>
  </cols>
  <sheetData>
    <row r="1" spans="1:7" ht="72" customHeight="1" x14ac:dyDescent="0.5">
      <c r="A1" s="59"/>
      <c r="B1" s="59"/>
      <c r="C1" s="59"/>
      <c r="D1" s="59"/>
      <c r="E1" s="59"/>
      <c r="F1" s="59"/>
      <c r="G1" s="1"/>
    </row>
    <row r="2" spans="1:7" ht="19.2" customHeight="1" x14ac:dyDescent="0.5">
      <c r="A2" s="37"/>
      <c r="B2" s="37"/>
      <c r="C2" s="37"/>
      <c r="D2" s="37"/>
      <c r="E2" s="37"/>
      <c r="F2" s="37"/>
      <c r="G2" s="1"/>
    </row>
    <row r="3" spans="1:7" ht="19.2" customHeight="1" x14ac:dyDescent="0.7">
      <c r="A3" s="37"/>
      <c r="B3" s="37"/>
      <c r="C3" s="39"/>
      <c r="D3" s="17" t="str">
        <f>DETAILS!B2</f>
        <v>WHOLEGOOD NUMBER:</v>
      </c>
      <c r="E3" s="60" t="str">
        <f>IF(DETAILS!C2&lt;&gt;"",DETAILS!C2,"")</f>
        <v/>
      </c>
      <c r="F3" s="60"/>
      <c r="G3" s="1"/>
    </row>
    <row r="4" spans="1:7" ht="19.2" customHeight="1" x14ac:dyDescent="0.5">
      <c r="A4" s="37"/>
      <c r="B4" s="37"/>
      <c r="C4" s="22" t="s">
        <v>53</v>
      </c>
      <c r="D4" s="17" t="str">
        <f>DETAILS!B3</f>
        <v>SERIAL NUMBER:</v>
      </c>
      <c r="E4" s="60" t="str">
        <f>IF(DETAILS!C3&lt;&gt;"",DETAILS!C3,"")</f>
        <v/>
      </c>
      <c r="F4" s="60"/>
      <c r="G4" s="1"/>
    </row>
    <row r="5" spans="1:7" ht="19.2" customHeight="1" x14ac:dyDescent="0.55000000000000004">
      <c r="A5" s="37"/>
      <c r="B5" s="37"/>
      <c r="C5" s="23">
        <f>COUNTIF(G10:G61,TRUE)</f>
        <v>0</v>
      </c>
      <c r="D5" s="17" t="str">
        <f>DETAILS!B4</f>
        <v>CUSTOMER:</v>
      </c>
      <c r="E5" s="60" t="str">
        <f>IF(DETAILS!C4&lt;&gt;"",DETAILS!C4,"")</f>
        <v/>
      </c>
      <c r="F5" s="60"/>
      <c r="G5" s="1"/>
    </row>
    <row r="6" spans="1:7" ht="19.2" customHeight="1" x14ac:dyDescent="0.5">
      <c r="A6" s="37"/>
      <c r="B6" s="37"/>
      <c r="D6" s="17" t="str">
        <f>DETAILS!B5</f>
        <v>MODEL:</v>
      </c>
      <c r="E6" s="60" t="str">
        <f>IF(DETAILS!C5&lt;&gt;"",DETAILS!C5,"")</f>
        <v/>
      </c>
      <c r="F6" s="60"/>
      <c r="G6" s="1"/>
    </row>
    <row r="7" spans="1:7" x14ac:dyDescent="0.5">
      <c r="A7" s="37"/>
      <c r="B7" s="37"/>
      <c r="F7" s="37"/>
      <c r="G7" s="1"/>
    </row>
    <row r="8" spans="1:7" ht="15.7" x14ac:dyDescent="0.55000000000000004">
      <c r="C8" s="4" t="s">
        <v>3</v>
      </c>
      <c r="D8" s="4"/>
      <c r="E8" s="4"/>
    </row>
    <row r="9" spans="1:7" x14ac:dyDescent="0.5">
      <c r="C9" s="5"/>
      <c r="D9" s="5"/>
      <c r="E9" s="5"/>
    </row>
    <row r="10" spans="1:7" ht="14.45" customHeight="1" x14ac:dyDescent="0.6">
      <c r="A10" s="12" t="s">
        <v>0</v>
      </c>
      <c r="B10" s="15">
        <f>IF(G10=TRUE,1,0)</f>
        <v>0</v>
      </c>
      <c r="C10" s="50" t="s">
        <v>4</v>
      </c>
      <c r="D10" s="50"/>
      <c r="E10" s="50"/>
      <c r="F10" s="61">
        <f>COUNTIF(G10:G21,TRUE)</f>
        <v>0</v>
      </c>
      <c r="G10" s="2" t="b">
        <f>SALES!E2</f>
        <v>0</v>
      </c>
    </row>
    <row r="11" spans="1:7" ht="14.45" customHeight="1" x14ac:dyDescent="0.6">
      <c r="A11" s="12" t="s">
        <v>1</v>
      </c>
      <c r="B11" s="15">
        <f t="shared" ref="B11:B61" si="0">IF(G11=TRUE,1,0)</f>
        <v>0</v>
      </c>
      <c r="C11" s="62" t="s">
        <v>56</v>
      </c>
      <c r="D11" s="62"/>
      <c r="E11" s="62"/>
      <c r="F11" s="61"/>
      <c r="G11" s="2" t="b">
        <f>SALES!E3</f>
        <v>0</v>
      </c>
    </row>
    <row r="12" spans="1:7" ht="14.45" customHeight="1" x14ac:dyDescent="0.6">
      <c r="A12" s="12" t="s">
        <v>2</v>
      </c>
      <c r="B12" s="15">
        <f t="shared" si="0"/>
        <v>0</v>
      </c>
      <c r="C12" s="50" t="s">
        <v>5</v>
      </c>
      <c r="D12" s="50"/>
      <c r="E12" s="50"/>
      <c r="F12" s="61"/>
      <c r="G12" s="2" t="b">
        <f>SALES!E4</f>
        <v>0</v>
      </c>
    </row>
    <row r="13" spans="1:7" ht="14.45" customHeight="1" x14ac:dyDescent="0.6">
      <c r="A13" s="12" t="s">
        <v>33</v>
      </c>
      <c r="B13" s="15">
        <f t="shared" si="0"/>
        <v>0</v>
      </c>
      <c r="C13" s="54" t="s">
        <v>57</v>
      </c>
      <c r="D13" s="54"/>
      <c r="E13" s="54"/>
      <c r="F13" s="61"/>
      <c r="G13" s="2" t="b">
        <f>'FINANCE &amp; ACCOUNTS'!E2</f>
        <v>0</v>
      </c>
    </row>
    <row r="14" spans="1:7" ht="14.45" customHeight="1" x14ac:dyDescent="0.6">
      <c r="A14" s="12" t="s">
        <v>34</v>
      </c>
      <c r="B14" s="15">
        <f t="shared" si="0"/>
        <v>0</v>
      </c>
      <c r="C14" s="52" t="s">
        <v>58</v>
      </c>
      <c r="D14" s="52"/>
      <c r="E14" s="52"/>
      <c r="F14" s="61"/>
      <c r="G14" s="2" t="b">
        <f>SALES!E5</f>
        <v>0</v>
      </c>
    </row>
    <row r="15" spans="1:7" ht="14.45" customHeight="1" x14ac:dyDescent="0.6">
      <c r="A15" s="12" t="s">
        <v>35</v>
      </c>
      <c r="B15" s="15">
        <f t="shared" si="0"/>
        <v>0</v>
      </c>
      <c r="C15" s="56" t="s">
        <v>59</v>
      </c>
      <c r="D15" s="56"/>
      <c r="E15" s="56"/>
      <c r="F15" s="61"/>
      <c r="G15" s="2" t="b">
        <f>SALES!E6</f>
        <v>0</v>
      </c>
    </row>
    <row r="16" spans="1:7" ht="14.45" customHeight="1" x14ac:dyDescent="0.6">
      <c r="A16" s="12" t="s">
        <v>36</v>
      </c>
      <c r="B16" s="15">
        <f t="shared" si="0"/>
        <v>0</v>
      </c>
      <c r="C16" s="54" t="s">
        <v>60</v>
      </c>
      <c r="D16" s="54"/>
      <c r="E16" s="54"/>
      <c r="F16" s="61"/>
      <c r="G16" s="2" t="b">
        <f>'FINANCE &amp; ACCOUNTS'!E3</f>
        <v>0</v>
      </c>
    </row>
    <row r="17" spans="1:7" ht="14.45" customHeight="1" x14ac:dyDescent="0.6">
      <c r="A17" s="12" t="s">
        <v>37</v>
      </c>
      <c r="B17" s="15">
        <f t="shared" si="0"/>
        <v>0</v>
      </c>
      <c r="C17" s="54" t="s">
        <v>6</v>
      </c>
      <c r="D17" s="54"/>
      <c r="E17" s="54"/>
      <c r="F17" s="61"/>
      <c r="G17" s="2" t="b">
        <f>'FINANCE &amp; ACCOUNTS'!E4</f>
        <v>0</v>
      </c>
    </row>
    <row r="18" spans="1:7" ht="14.45" customHeight="1" x14ac:dyDescent="0.6">
      <c r="A18" s="12" t="s">
        <v>38</v>
      </c>
      <c r="B18" s="15">
        <f t="shared" si="0"/>
        <v>0</v>
      </c>
      <c r="C18" s="55" t="s">
        <v>7</v>
      </c>
      <c r="D18" s="55"/>
      <c r="E18" s="55"/>
      <c r="F18" s="61"/>
      <c r="G18" s="2" t="b">
        <f>PARTS!E2</f>
        <v>0</v>
      </c>
    </row>
    <row r="19" spans="1:7" s="7" customFormat="1" ht="14.45" customHeight="1" x14ac:dyDescent="0.6">
      <c r="A19" s="13" t="s">
        <v>39</v>
      </c>
      <c r="B19" s="15">
        <f t="shared" si="0"/>
        <v>0</v>
      </c>
      <c r="C19" s="55" t="s">
        <v>46</v>
      </c>
      <c r="D19" s="55"/>
      <c r="E19" s="55"/>
      <c r="F19" s="61"/>
      <c r="G19" s="7" t="b">
        <f>PARTS!E3</f>
        <v>0</v>
      </c>
    </row>
    <row r="20" spans="1:7" s="5" customFormat="1" ht="14.45" customHeight="1" x14ac:dyDescent="0.6">
      <c r="A20" s="14" t="s">
        <v>40</v>
      </c>
      <c r="B20" s="15">
        <f t="shared" si="0"/>
        <v>0</v>
      </c>
      <c r="C20" s="63" t="s">
        <v>8</v>
      </c>
      <c r="D20" s="63"/>
      <c r="E20" s="63"/>
      <c r="F20" s="61"/>
      <c r="G20" s="5" t="b">
        <f>SALES!E7</f>
        <v>0</v>
      </c>
    </row>
    <row r="21" spans="1:7" ht="14.45" customHeight="1" x14ac:dyDescent="0.6">
      <c r="A21" s="12" t="s">
        <v>41</v>
      </c>
      <c r="B21" s="15">
        <f t="shared" si="0"/>
        <v>0</v>
      </c>
      <c r="C21" s="52" t="s">
        <v>9</v>
      </c>
      <c r="D21" s="52"/>
      <c r="E21" s="52"/>
      <c r="F21" s="61"/>
      <c r="G21" s="5" t="b">
        <f>SALES!E8</f>
        <v>0</v>
      </c>
    </row>
    <row r="22" spans="1:7" ht="14.45" customHeight="1" x14ac:dyDescent="0.6">
      <c r="A22" s="12"/>
      <c r="B22" s="15"/>
      <c r="C22" s="53"/>
      <c r="D22" s="53"/>
      <c r="E22" s="53"/>
      <c r="F22" s="27"/>
    </row>
    <row r="23" spans="1:7" ht="14.45" customHeight="1" x14ac:dyDescent="0.6">
      <c r="A23" s="12" t="s">
        <v>0</v>
      </c>
      <c r="B23" s="15">
        <f t="shared" si="0"/>
        <v>0</v>
      </c>
      <c r="C23" s="52" t="s">
        <v>10</v>
      </c>
      <c r="D23" s="52"/>
      <c r="E23" s="52"/>
      <c r="F23" s="46">
        <f>COUNTIF(G23:G38,TRUE)</f>
        <v>0</v>
      </c>
      <c r="G23" s="2" t="b">
        <f>SALES!E9</f>
        <v>0</v>
      </c>
    </row>
    <row r="24" spans="1:7" ht="14.45" customHeight="1" x14ac:dyDescent="0.6">
      <c r="A24" s="12" t="s">
        <v>1</v>
      </c>
      <c r="B24" s="15">
        <f t="shared" si="0"/>
        <v>0</v>
      </c>
      <c r="C24" s="56" t="s">
        <v>61</v>
      </c>
      <c r="D24" s="56"/>
      <c r="E24" s="56"/>
      <c r="F24" s="46"/>
      <c r="G24" s="2" t="b">
        <f>SALES!E10</f>
        <v>0</v>
      </c>
    </row>
    <row r="25" spans="1:7" ht="14.45" customHeight="1" x14ac:dyDescent="0.6">
      <c r="A25" s="12" t="s">
        <v>2</v>
      </c>
      <c r="B25" s="15">
        <f t="shared" si="0"/>
        <v>0</v>
      </c>
      <c r="C25" s="57" t="s">
        <v>62</v>
      </c>
      <c r="D25" s="57"/>
      <c r="E25" s="57"/>
      <c r="F25" s="46"/>
      <c r="G25" s="2" t="b">
        <f>SERVICE!E2</f>
        <v>0</v>
      </c>
    </row>
    <row r="26" spans="1:7" ht="14.45" customHeight="1" x14ac:dyDescent="0.6">
      <c r="A26" s="12" t="s">
        <v>33</v>
      </c>
      <c r="B26" s="15">
        <f t="shared" si="0"/>
        <v>0</v>
      </c>
      <c r="C26" s="58" t="s">
        <v>11</v>
      </c>
      <c r="D26" s="58"/>
      <c r="E26" s="58"/>
      <c r="F26" s="46"/>
      <c r="G26" s="2" t="b">
        <f>'FINANCE &amp; ACCOUNTS'!E5</f>
        <v>0</v>
      </c>
    </row>
    <row r="27" spans="1:7" ht="14.45" customHeight="1" x14ac:dyDescent="0.6">
      <c r="A27" s="12" t="s">
        <v>34</v>
      </c>
      <c r="B27" s="15">
        <f t="shared" si="0"/>
        <v>0</v>
      </c>
      <c r="C27" s="49" t="s">
        <v>63</v>
      </c>
      <c r="D27" s="49"/>
      <c r="E27" s="49"/>
      <c r="F27" s="46"/>
      <c r="G27" s="2" t="b">
        <f>SERVICE!E3</f>
        <v>0</v>
      </c>
    </row>
    <row r="28" spans="1:7" ht="14.45" customHeight="1" x14ac:dyDescent="0.6">
      <c r="A28" s="12" t="s">
        <v>35</v>
      </c>
      <c r="B28" s="15">
        <f t="shared" si="0"/>
        <v>0</v>
      </c>
      <c r="C28" s="52" t="s">
        <v>12</v>
      </c>
      <c r="D28" s="52"/>
      <c r="E28" s="52"/>
      <c r="F28" s="46"/>
      <c r="G28" s="2" t="b">
        <f>SALES!E11</f>
        <v>0</v>
      </c>
    </row>
    <row r="29" spans="1:7" ht="14.45" customHeight="1" x14ac:dyDescent="0.6">
      <c r="A29" s="12" t="s">
        <v>36</v>
      </c>
      <c r="B29" s="15">
        <f t="shared" si="0"/>
        <v>0</v>
      </c>
      <c r="C29" s="54" t="s">
        <v>13</v>
      </c>
      <c r="D29" s="54"/>
      <c r="E29" s="54"/>
      <c r="F29" s="46"/>
      <c r="G29" s="2" t="b">
        <f>'FINANCE &amp; ACCOUNTS'!E6</f>
        <v>0</v>
      </c>
    </row>
    <row r="30" spans="1:7" ht="14.45" customHeight="1" x14ac:dyDescent="0.6">
      <c r="A30" s="12" t="s">
        <v>37</v>
      </c>
      <c r="B30" s="15">
        <f t="shared" si="0"/>
        <v>0</v>
      </c>
      <c r="C30" s="52" t="s">
        <v>64</v>
      </c>
      <c r="D30" s="52"/>
      <c r="E30" s="52"/>
      <c r="F30" s="46"/>
      <c r="G30" s="2" t="b">
        <f>SALES!E12</f>
        <v>0</v>
      </c>
    </row>
    <row r="31" spans="1:7" ht="14.45" customHeight="1" x14ac:dyDescent="0.6">
      <c r="A31" s="12" t="s">
        <v>38</v>
      </c>
      <c r="B31" s="15">
        <f>IF(G32=TRUE,1,0)</f>
        <v>0</v>
      </c>
      <c r="C31" s="55" t="s">
        <v>51</v>
      </c>
      <c r="D31" s="55"/>
      <c r="E31" s="55"/>
      <c r="F31" s="46"/>
      <c r="G31" s="2" t="b">
        <f>PARTS!E4</f>
        <v>0</v>
      </c>
    </row>
    <row r="32" spans="1:7" ht="14.45" customHeight="1" x14ac:dyDescent="0.6">
      <c r="A32" s="12" t="s">
        <v>39</v>
      </c>
      <c r="B32" s="15">
        <f>IF(G31=TRUE,1,0)</f>
        <v>0</v>
      </c>
      <c r="C32" s="49" t="s">
        <v>14</v>
      </c>
      <c r="D32" s="49"/>
      <c r="E32" s="49"/>
      <c r="F32" s="46"/>
      <c r="G32" s="8" t="b">
        <f>SERVICE!E4</f>
        <v>0</v>
      </c>
    </row>
    <row r="33" spans="1:7" ht="14.45" customHeight="1" x14ac:dyDescent="0.6">
      <c r="A33" s="12" t="s">
        <v>40</v>
      </c>
      <c r="B33" s="15">
        <f t="shared" si="0"/>
        <v>0</v>
      </c>
      <c r="C33" s="49" t="s">
        <v>45</v>
      </c>
      <c r="D33" s="49"/>
      <c r="E33" s="49"/>
      <c r="F33" s="46"/>
      <c r="G33" s="2" t="b">
        <f>SERVICE!E5</f>
        <v>0</v>
      </c>
    </row>
    <row r="34" spans="1:7" ht="14.45" customHeight="1" x14ac:dyDescent="0.6">
      <c r="A34" s="12" t="s">
        <v>41</v>
      </c>
      <c r="B34" s="15">
        <f t="shared" si="0"/>
        <v>0</v>
      </c>
      <c r="C34" s="54" t="s">
        <v>65</v>
      </c>
      <c r="D34" s="54"/>
      <c r="E34" s="54"/>
      <c r="F34" s="46"/>
      <c r="G34" s="2" t="b">
        <f>'FINANCE &amp; ACCOUNTS'!E7</f>
        <v>0</v>
      </c>
    </row>
    <row r="35" spans="1:7" ht="14.45" customHeight="1" x14ac:dyDescent="0.6">
      <c r="A35" s="12" t="s">
        <v>42</v>
      </c>
      <c r="B35" s="15">
        <f t="shared" si="0"/>
        <v>0</v>
      </c>
      <c r="C35" s="49" t="s">
        <v>15</v>
      </c>
      <c r="D35" s="49"/>
      <c r="E35" s="49"/>
      <c r="F35" s="46"/>
      <c r="G35" s="2" t="b">
        <f>SERVICE!E6</f>
        <v>0</v>
      </c>
    </row>
    <row r="36" spans="1:7" ht="14.45" customHeight="1" x14ac:dyDescent="0.6">
      <c r="A36" s="12" t="s">
        <v>43</v>
      </c>
      <c r="B36" s="15">
        <f t="shared" si="0"/>
        <v>0</v>
      </c>
      <c r="C36" s="48" t="s">
        <v>16</v>
      </c>
      <c r="D36" s="48"/>
      <c r="E36" s="48"/>
      <c r="F36" s="46"/>
      <c r="G36" s="2" t="b">
        <f>FARMSIGHT!E2</f>
        <v>0</v>
      </c>
    </row>
    <row r="37" spans="1:7" ht="14.45" customHeight="1" x14ac:dyDescent="0.6">
      <c r="A37" s="12" t="s">
        <v>44</v>
      </c>
      <c r="B37" s="15">
        <f t="shared" si="0"/>
        <v>0</v>
      </c>
      <c r="C37" s="52" t="s">
        <v>66</v>
      </c>
      <c r="D37" s="52"/>
      <c r="E37" s="52"/>
      <c r="F37" s="46"/>
      <c r="G37" s="2" t="b">
        <f>SALES!E13</f>
        <v>0</v>
      </c>
    </row>
    <row r="38" spans="1:7" ht="14.45" customHeight="1" x14ac:dyDescent="0.6">
      <c r="A38" s="12" t="s">
        <v>72</v>
      </c>
      <c r="B38" s="15">
        <f t="shared" si="0"/>
        <v>0</v>
      </c>
      <c r="C38" s="52" t="s">
        <v>67</v>
      </c>
      <c r="D38" s="52"/>
      <c r="E38" s="52"/>
      <c r="F38" s="46"/>
      <c r="G38" s="2" t="b">
        <f>SALES!E14</f>
        <v>0</v>
      </c>
    </row>
    <row r="39" spans="1:7" ht="14.45" customHeight="1" x14ac:dyDescent="0.6">
      <c r="A39" s="12"/>
      <c r="B39" s="15"/>
      <c r="C39" s="53"/>
      <c r="D39" s="53"/>
      <c r="E39" s="53"/>
    </row>
    <row r="40" spans="1:7" ht="14.45" customHeight="1" x14ac:dyDescent="0.6">
      <c r="A40" s="12" t="s">
        <v>0</v>
      </c>
      <c r="B40" s="15">
        <f t="shared" si="0"/>
        <v>0</v>
      </c>
      <c r="C40" s="47" t="s">
        <v>17</v>
      </c>
      <c r="D40" s="47"/>
      <c r="E40" s="47"/>
      <c r="F40" s="61">
        <f>COUNTIF(G40:G45,TRUE)</f>
        <v>0</v>
      </c>
      <c r="G40" s="2" t="b">
        <f>FARMSIGHT!E3</f>
        <v>0</v>
      </c>
    </row>
    <row r="41" spans="1:7" ht="14.45" customHeight="1" x14ac:dyDescent="0.6">
      <c r="A41" s="12" t="s">
        <v>1</v>
      </c>
      <c r="B41" s="15">
        <f t="shared" si="0"/>
        <v>0</v>
      </c>
      <c r="C41" s="47" t="s">
        <v>18</v>
      </c>
      <c r="D41" s="47"/>
      <c r="E41" s="47"/>
      <c r="F41" s="61"/>
      <c r="G41" s="2" t="b">
        <f>FARMSIGHT!E4</f>
        <v>0</v>
      </c>
    </row>
    <row r="42" spans="1:7" ht="14.45" customHeight="1" x14ac:dyDescent="0.6">
      <c r="A42" s="12" t="s">
        <v>2</v>
      </c>
      <c r="B42" s="15">
        <f t="shared" si="0"/>
        <v>0</v>
      </c>
      <c r="C42" s="47" t="s">
        <v>19</v>
      </c>
      <c r="D42" s="47"/>
      <c r="E42" s="47"/>
      <c r="F42" s="61"/>
      <c r="G42" s="2" t="b">
        <f>FARMSIGHT!E5</f>
        <v>0</v>
      </c>
    </row>
    <row r="43" spans="1:7" ht="14.45" customHeight="1" x14ac:dyDescent="0.6">
      <c r="A43" s="12" t="s">
        <v>33</v>
      </c>
      <c r="B43" s="15">
        <f t="shared" si="0"/>
        <v>0</v>
      </c>
      <c r="C43" s="49" t="s">
        <v>68</v>
      </c>
      <c r="D43" s="49"/>
      <c r="E43" s="49"/>
      <c r="F43" s="61"/>
      <c r="G43" s="2" t="b">
        <f>SERVICE!E7</f>
        <v>0</v>
      </c>
    </row>
    <row r="44" spans="1:7" ht="14.45" customHeight="1" x14ac:dyDescent="0.6">
      <c r="A44" s="12" t="s">
        <v>34</v>
      </c>
      <c r="B44" s="15">
        <f t="shared" si="0"/>
        <v>0</v>
      </c>
      <c r="C44" s="50" t="s">
        <v>69</v>
      </c>
      <c r="D44" s="50"/>
      <c r="E44" s="50"/>
      <c r="F44" s="61"/>
      <c r="G44" s="2" t="b">
        <f>SALES!E15</f>
        <v>0</v>
      </c>
    </row>
    <row r="45" spans="1:7" ht="14.45" customHeight="1" x14ac:dyDescent="0.6">
      <c r="A45" s="12" t="s">
        <v>35</v>
      </c>
      <c r="B45" s="15">
        <f t="shared" si="0"/>
        <v>0</v>
      </c>
      <c r="C45" s="47" t="s">
        <v>20</v>
      </c>
      <c r="D45" s="47"/>
      <c r="E45" s="47"/>
      <c r="F45" s="61"/>
      <c r="G45" s="2" t="b">
        <f>FARMSIGHT!E6</f>
        <v>0</v>
      </c>
    </row>
    <row r="46" spans="1:7" ht="14.45" customHeight="1" x14ac:dyDescent="0.6">
      <c r="A46" s="12"/>
      <c r="B46" s="15"/>
      <c r="C46" s="51"/>
      <c r="D46" s="51"/>
      <c r="E46" s="51"/>
    </row>
    <row r="47" spans="1:7" ht="14.45" customHeight="1" x14ac:dyDescent="0.6">
      <c r="A47" s="12" t="s">
        <v>0</v>
      </c>
      <c r="B47" s="15">
        <f t="shared" si="0"/>
        <v>0</v>
      </c>
      <c r="C47" s="47" t="s">
        <v>21</v>
      </c>
      <c r="D47" s="47"/>
      <c r="E47" s="47"/>
      <c r="F47" s="61">
        <f>COUNTIF(G47:G61,TRUE)</f>
        <v>0</v>
      </c>
      <c r="G47" s="2" t="b">
        <f>FARMSIGHT!E7</f>
        <v>0</v>
      </c>
    </row>
    <row r="48" spans="1:7" ht="14.45" customHeight="1" x14ac:dyDescent="0.6">
      <c r="A48" s="12" t="s">
        <v>1</v>
      </c>
      <c r="B48" s="15">
        <f t="shared" si="0"/>
        <v>0</v>
      </c>
      <c r="C48" s="47" t="s">
        <v>22</v>
      </c>
      <c r="D48" s="47"/>
      <c r="E48" s="47"/>
      <c r="F48" s="61"/>
      <c r="G48" s="2" t="b">
        <f>FARMSIGHT!E8</f>
        <v>0</v>
      </c>
    </row>
    <row r="49" spans="1:7" ht="14.45" customHeight="1" x14ac:dyDescent="0.6">
      <c r="A49" s="12" t="s">
        <v>2</v>
      </c>
      <c r="B49" s="15">
        <f t="shared" si="0"/>
        <v>0</v>
      </c>
      <c r="C49" s="47" t="s">
        <v>70</v>
      </c>
      <c r="D49" s="47"/>
      <c r="E49" s="47"/>
      <c r="F49" s="61"/>
      <c r="G49" s="2" t="b">
        <f>FARMSIGHT!E9</f>
        <v>0</v>
      </c>
    </row>
    <row r="50" spans="1:7" ht="14.45" customHeight="1" x14ac:dyDescent="0.6">
      <c r="A50" s="12" t="s">
        <v>33</v>
      </c>
      <c r="B50" s="15">
        <f t="shared" si="0"/>
        <v>0</v>
      </c>
      <c r="C50" s="47" t="s">
        <v>22</v>
      </c>
      <c r="D50" s="47"/>
      <c r="E50" s="47"/>
      <c r="F50" s="61"/>
      <c r="G50" s="2" t="b">
        <f>FARMSIGHT!E10</f>
        <v>0</v>
      </c>
    </row>
    <row r="51" spans="1:7" ht="14.45" customHeight="1" x14ac:dyDescent="0.6">
      <c r="A51" s="12" t="s">
        <v>34</v>
      </c>
      <c r="B51" s="15">
        <f t="shared" si="0"/>
        <v>0</v>
      </c>
      <c r="C51" s="47" t="s">
        <v>71</v>
      </c>
      <c r="D51" s="47"/>
      <c r="E51" s="47"/>
      <c r="F51" s="61"/>
      <c r="G51" s="2" t="b">
        <f>FARMSIGHT!E11</f>
        <v>0</v>
      </c>
    </row>
    <row r="52" spans="1:7" ht="14.45" customHeight="1" x14ac:dyDescent="0.6">
      <c r="A52" s="12" t="s">
        <v>35</v>
      </c>
      <c r="B52" s="15">
        <f t="shared" si="0"/>
        <v>0</v>
      </c>
      <c r="C52" s="47" t="s">
        <v>23</v>
      </c>
      <c r="D52" s="47"/>
      <c r="E52" s="47"/>
      <c r="F52" s="61"/>
      <c r="G52" s="2" t="b">
        <f>FARMSIGHT!E12</f>
        <v>0</v>
      </c>
    </row>
    <row r="53" spans="1:7" ht="14.45" customHeight="1" x14ac:dyDescent="0.6">
      <c r="A53" s="12" t="s">
        <v>36</v>
      </c>
      <c r="B53" s="15">
        <f t="shared" si="0"/>
        <v>0</v>
      </c>
      <c r="C53" s="47" t="s">
        <v>24</v>
      </c>
      <c r="D53" s="47"/>
      <c r="E53" s="47"/>
      <c r="F53" s="61"/>
      <c r="G53" s="2" t="b">
        <f>FARMSIGHT!E13</f>
        <v>0</v>
      </c>
    </row>
    <row r="54" spans="1:7" ht="14.45" customHeight="1" x14ac:dyDescent="0.6">
      <c r="A54" s="12" t="s">
        <v>37</v>
      </c>
      <c r="B54" s="15">
        <f t="shared" si="0"/>
        <v>0</v>
      </c>
      <c r="C54" s="47" t="s">
        <v>25</v>
      </c>
      <c r="D54" s="47"/>
      <c r="E54" s="47"/>
      <c r="F54" s="61"/>
      <c r="G54" s="2" t="b">
        <f>FARMSIGHT!E14</f>
        <v>0</v>
      </c>
    </row>
    <row r="55" spans="1:7" ht="14.45" customHeight="1" x14ac:dyDescent="0.6">
      <c r="A55" s="12" t="s">
        <v>38</v>
      </c>
      <c r="B55" s="15">
        <f t="shared" si="0"/>
        <v>0</v>
      </c>
      <c r="C55" s="47" t="s">
        <v>26</v>
      </c>
      <c r="D55" s="47"/>
      <c r="E55" s="47"/>
      <c r="F55" s="61"/>
      <c r="G55" s="2" t="b">
        <f>FARMSIGHT!E15</f>
        <v>0</v>
      </c>
    </row>
    <row r="56" spans="1:7" ht="14.45" customHeight="1" x14ac:dyDescent="0.6">
      <c r="A56" s="12" t="s">
        <v>39</v>
      </c>
      <c r="B56" s="15">
        <f t="shared" si="0"/>
        <v>0</v>
      </c>
      <c r="C56" s="47" t="s">
        <v>27</v>
      </c>
      <c r="D56" s="47"/>
      <c r="E56" s="47"/>
      <c r="F56" s="61"/>
      <c r="G56" s="2" t="b">
        <f>FARMSIGHT!E16</f>
        <v>0</v>
      </c>
    </row>
    <row r="57" spans="1:7" ht="14.45" customHeight="1" x14ac:dyDescent="0.6">
      <c r="A57" s="12" t="s">
        <v>40</v>
      </c>
      <c r="B57" s="15">
        <f t="shared" si="0"/>
        <v>0</v>
      </c>
      <c r="C57" s="47" t="s">
        <v>28</v>
      </c>
      <c r="D57" s="47"/>
      <c r="E57" s="47"/>
      <c r="F57" s="61"/>
      <c r="G57" s="2" t="b">
        <f>FARMSIGHT!E17</f>
        <v>0</v>
      </c>
    </row>
    <row r="58" spans="1:7" ht="14.45" customHeight="1" x14ac:dyDescent="0.6">
      <c r="A58" s="12" t="s">
        <v>41</v>
      </c>
      <c r="B58" s="15">
        <f t="shared" si="0"/>
        <v>0</v>
      </c>
      <c r="C58" s="47" t="s">
        <v>29</v>
      </c>
      <c r="D58" s="47"/>
      <c r="E58" s="47"/>
      <c r="F58" s="61"/>
      <c r="G58" s="2" t="b">
        <f>FARMSIGHT!E18</f>
        <v>0</v>
      </c>
    </row>
    <row r="59" spans="1:7" ht="14.45" customHeight="1" x14ac:dyDescent="0.6">
      <c r="A59" s="12" t="s">
        <v>42</v>
      </c>
      <c r="B59" s="15">
        <f t="shared" si="0"/>
        <v>0</v>
      </c>
      <c r="C59" s="47" t="s">
        <v>30</v>
      </c>
      <c r="D59" s="47"/>
      <c r="E59" s="47"/>
      <c r="F59" s="61"/>
      <c r="G59" s="2" t="b">
        <f>FARMSIGHT!E19</f>
        <v>0</v>
      </c>
    </row>
    <row r="60" spans="1:7" ht="14.45" customHeight="1" x14ac:dyDescent="0.6">
      <c r="A60" s="12" t="s">
        <v>43</v>
      </c>
      <c r="B60" s="15">
        <f t="shared" si="0"/>
        <v>0</v>
      </c>
      <c r="C60" s="47" t="s">
        <v>31</v>
      </c>
      <c r="D60" s="47"/>
      <c r="E60" s="47"/>
      <c r="F60" s="61"/>
      <c r="G60" s="2" t="b">
        <f>FARMSIGHT!E20</f>
        <v>0</v>
      </c>
    </row>
    <row r="61" spans="1:7" ht="14.45" customHeight="1" x14ac:dyDescent="0.6">
      <c r="A61" s="12" t="s">
        <v>44</v>
      </c>
      <c r="B61" s="15">
        <f t="shared" si="0"/>
        <v>0</v>
      </c>
      <c r="C61" s="48" t="s">
        <v>32</v>
      </c>
      <c r="D61" s="48"/>
      <c r="E61" s="48"/>
      <c r="F61" s="61"/>
      <c r="G61" s="2" t="b">
        <f>FARMSIGHT!E21</f>
        <v>0</v>
      </c>
    </row>
  </sheetData>
  <sheetProtection algorithmName="SHA-512" hashValue="zbmddgvdwX1s+MphlYm7+FIMeU4e5zyw9z1Jr/dEY01RY43642KnBaqoUld9Y06gULvSDX6wFj6HagT3pT00+g==" saltValue="sjWb05H9doBWaoIrAh+Nrg==" spinCount="100000" sheet="1" objects="1" scenarios="1" selectLockedCells="1" selectUnlockedCells="1"/>
  <mergeCells count="61">
    <mergeCell ref="C15:E15"/>
    <mergeCell ref="F10:F21"/>
    <mergeCell ref="F40:F45"/>
    <mergeCell ref="F47:F61"/>
    <mergeCell ref="C10:E10"/>
    <mergeCell ref="C11:E11"/>
    <mergeCell ref="C12:E12"/>
    <mergeCell ref="C13:E13"/>
    <mergeCell ref="C14:E14"/>
    <mergeCell ref="C16:E16"/>
    <mergeCell ref="C17:E17"/>
    <mergeCell ref="C18:E18"/>
    <mergeCell ref="C19:E19"/>
    <mergeCell ref="C20:E20"/>
    <mergeCell ref="C21:E21"/>
    <mergeCell ref="C22:E22"/>
    <mergeCell ref="A1:F1"/>
    <mergeCell ref="E3:F3"/>
    <mergeCell ref="E4:F4"/>
    <mergeCell ref="E5:F5"/>
    <mergeCell ref="E6:F6"/>
    <mergeCell ref="C23:E23"/>
    <mergeCell ref="C24:E24"/>
    <mergeCell ref="C25:E25"/>
    <mergeCell ref="C26:E26"/>
    <mergeCell ref="C27:E27"/>
    <mergeCell ref="C28:E28"/>
    <mergeCell ref="C29:E29"/>
    <mergeCell ref="C30:E30"/>
    <mergeCell ref="C32:E32"/>
    <mergeCell ref="C31:E31"/>
    <mergeCell ref="C33:E33"/>
    <mergeCell ref="C34:E34"/>
    <mergeCell ref="C35:E35"/>
    <mergeCell ref="C36:E36"/>
    <mergeCell ref="C37:E37"/>
    <mergeCell ref="C44:E44"/>
    <mergeCell ref="C45:E45"/>
    <mergeCell ref="C46:E46"/>
    <mergeCell ref="C47:E47"/>
    <mergeCell ref="C38:E38"/>
    <mergeCell ref="C39:E39"/>
    <mergeCell ref="C40:E40"/>
    <mergeCell ref="C41:E41"/>
    <mergeCell ref="C42:E42"/>
    <mergeCell ref="F23:F38"/>
    <mergeCell ref="C53:E53"/>
    <mergeCell ref="C54:E54"/>
    <mergeCell ref="C55:E55"/>
    <mergeCell ref="C61:E61"/>
    <mergeCell ref="C56:E56"/>
    <mergeCell ref="C57:E57"/>
    <mergeCell ref="C58:E58"/>
    <mergeCell ref="C59:E59"/>
    <mergeCell ref="C60:E60"/>
    <mergeCell ref="C48:E48"/>
    <mergeCell ref="C49:E49"/>
    <mergeCell ref="C50:E50"/>
    <mergeCell ref="C51:E51"/>
    <mergeCell ref="C52:E52"/>
    <mergeCell ref="C43:E43"/>
  </mergeCells>
  <conditionalFormatting sqref="C5">
    <cfRule type="dataBar" priority="5">
      <dataBar showValue="0">
        <cfvo type="num" val="0"/>
        <cfvo type="num" val="48"/>
        <color rgb="FF367C2B"/>
      </dataBar>
      <extLst>
        <ext xmlns:x14="http://schemas.microsoft.com/office/spreadsheetml/2009/9/main" uri="{B025F937-C7B1-47D3-B67F-A62EFF666E3E}">
          <x14:id>{07FBA088-E4EA-40FA-ACB8-B9B514C9DEAA}</x14:id>
        </ext>
      </extLst>
    </cfRule>
  </conditionalFormatting>
  <conditionalFormatting sqref="F10:F21">
    <cfRule type="iconSet" priority="4">
      <iconSet iconSet="3TrafficLights2" showValue="0">
        <cfvo type="percent" val="0"/>
        <cfvo type="num" val="1"/>
        <cfvo type="num" val="12"/>
      </iconSet>
    </cfRule>
  </conditionalFormatting>
  <conditionalFormatting sqref="F40:F45">
    <cfRule type="iconSet" priority="2">
      <iconSet iconSet="3TrafficLights2" showValue="0">
        <cfvo type="percent" val="0"/>
        <cfvo type="num" val="1"/>
        <cfvo type="num" val="6"/>
      </iconSet>
    </cfRule>
  </conditionalFormatting>
  <conditionalFormatting sqref="F47:F61">
    <cfRule type="iconSet" priority="1">
      <iconSet iconSet="3TrafficLights2" showValue="0">
        <cfvo type="percent" val="0"/>
        <cfvo type="num" val="1"/>
        <cfvo type="num" val="15"/>
      </iconSet>
    </cfRule>
  </conditionalFormatting>
  <conditionalFormatting sqref="F23">
    <cfRule type="iconSet" priority="27">
      <iconSet iconSet="3TrafficLights2" showValue="0">
        <cfvo type="percent" val="0"/>
        <cfvo type="num" val="1"/>
        <cfvo type="num" val="16"/>
      </iconSet>
    </cfRule>
  </conditionalFormatting>
  <pageMargins left="0.19685039370078741" right="0.19685039370078741" top="0.19685039370078741" bottom="0.19685039370078741" header="0.19685039370078741" footer="0.19685039370078741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FBA088-E4EA-40FA-ACB8-B9B514C9DEAA}">
            <x14:dataBar minLength="0" maxLength="100">
              <x14:cfvo type="num">
                <xm:f>0</xm:f>
              </x14:cfvo>
              <x14:cfvo type="num">
                <xm:f>48</xm:f>
              </x14:cfvo>
              <x14:negativeFillColor rgb="FFFF0000"/>
              <x14:axisColor rgb="FF000000"/>
            </x14:dataBar>
          </x14:cfRule>
          <xm:sqref>C5</xm:sqref>
        </x14:conditionalFormatting>
        <x14:conditionalFormatting xmlns:xm="http://schemas.microsoft.com/office/excel/2006/main">
          <x14:cfRule type="iconSet" priority="26" id="{8C9E97B7-3B5E-4291-A858-3BBF9CCFBE5F}">
            <x14:iconSet iconSet="3Symbols2" showValue="0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NoIcons" iconId="0"/>
              <x14:cfIcon iconSet="3Symbols2" iconId="2"/>
              <x14:cfIcon iconSet="3Symbols2" iconId="2"/>
            </x14:iconSet>
          </x14:cfRule>
          <xm:sqref>B10:B61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0"/>
  </sheetPr>
  <dimension ref="B2:E5"/>
  <sheetViews>
    <sheetView showRowColHeaders="0" workbookViewId="0">
      <selection activeCell="C2" sqref="C2"/>
    </sheetView>
  </sheetViews>
  <sheetFormatPr defaultColWidth="8.87890625" defaultRowHeight="14.35" x14ac:dyDescent="0.5"/>
  <cols>
    <col min="1" max="1" width="8.87890625" style="11"/>
    <col min="2" max="2" width="21.3515625" style="11" bestFit="1" customWidth="1"/>
    <col min="3" max="3" width="25.76171875" style="11" customWidth="1"/>
    <col min="4" max="16384" width="8.87890625" style="11"/>
  </cols>
  <sheetData>
    <row r="2" spans="2:5" s="10" customFormat="1" ht="19.2" customHeight="1" x14ac:dyDescent="0.5">
      <c r="B2" s="9" t="s">
        <v>48</v>
      </c>
      <c r="C2" s="6"/>
    </row>
    <row r="3" spans="2:5" s="10" customFormat="1" ht="19.2" customHeight="1" x14ac:dyDescent="0.5">
      <c r="B3" s="9" t="s">
        <v>47</v>
      </c>
      <c r="C3" s="6"/>
    </row>
    <row r="4" spans="2:5" s="10" customFormat="1" ht="19.2" customHeight="1" x14ac:dyDescent="0.5">
      <c r="B4" s="9" t="s">
        <v>49</v>
      </c>
      <c r="C4" s="6"/>
    </row>
    <row r="5" spans="2:5" s="10" customFormat="1" ht="19.2" customHeight="1" x14ac:dyDescent="0.5">
      <c r="B5" s="9" t="s">
        <v>50</v>
      </c>
      <c r="C5" s="6"/>
      <c r="E5" s="26" t="b">
        <f>IF(AND(C2&lt;&gt;"",C3&lt;&gt;"",C4&lt;&gt;"",C5&lt;&gt;""),TRUE,FALSE)</f>
        <v>0</v>
      </c>
    </row>
  </sheetData>
  <sheetProtection algorithmName="SHA-512" hashValue="IM7fzFd9QqMUSZJ0htZZp5TBeER8PVSqERqaD6jnvIKSTBRPZ74pFJzfZexJBq6YCy7zWCNqMznkQL2vccW5Qw==" saltValue="GIyNHv7vItvrd/mUJpxjOA==" spinCount="100000" sheet="1" objects="1" scenarios="1" selectLockedCells="1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ACB9CA"/>
  </sheetPr>
  <dimension ref="A2:N24"/>
  <sheetViews>
    <sheetView showRowColHeaders="0" zoomScaleNormal="100" workbookViewId="0">
      <selection activeCell="H6" sqref="H6"/>
    </sheetView>
  </sheetViews>
  <sheetFormatPr defaultColWidth="8.87890625" defaultRowHeight="14.35" x14ac:dyDescent="0.5"/>
  <cols>
    <col min="1" max="1" width="5" style="11" customWidth="1"/>
    <col min="2" max="2" width="83.3515625" style="11" customWidth="1"/>
    <col min="3" max="3" width="10.3515625" style="11" customWidth="1"/>
    <col min="4" max="4" width="20.52734375" style="11" customWidth="1"/>
    <col min="5" max="6" width="8.87890625" style="11" hidden="1" customWidth="1"/>
    <col min="7" max="7" width="8.87890625" style="11" customWidth="1"/>
    <col min="8" max="8" width="20.76171875" style="11" customWidth="1"/>
    <col min="9" max="16384" width="8.87890625" style="11"/>
  </cols>
  <sheetData>
    <row r="2" spans="1:14" ht="14.45" customHeight="1" x14ac:dyDescent="0.5">
      <c r="B2" s="28" t="s">
        <v>4</v>
      </c>
      <c r="C2" s="64">
        <f>COUNTIF(E2:E15,TRUE)</f>
        <v>0</v>
      </c>
      <c r="D2" s="38"/>
      <c r="E2" s="18" t="b">
        <v>0</v>
      </c>
      <c r="F2" s="24" t="b">
        <v>0</v>
      </c>
      <c r="G2" s="16"/>
    </row>
    <row r="3" spans="1:14" ht="14.45" customHeight="1" x14ac:dyDescent="0.5">
      <c r="B3" s="29" t="s">
        <v>56</v>
      </c>
      <c r="C3" s="64"/>
      <c r="D3" s="38"/>
      <c r="E3" s="18" t="b">
        <v>0</v>
      </c>
      <c r="F3" s="24" t="b">
        <v>0</v>
      </c>
      <c r="G3" s="16"/>
    </row>
    <row r="4" spans="1:14" ht="14.45" customHeight="1" x14ac:dyDescent="0.5">
      <c r="B4" s="28" t="s">
        <v>5</v>
      </c>
      <c r="C4" s="64"/>
      <c r="D4" s="38"/>
      <c r="E4" s="18" t="b">
        <v>0</v>
      </c>
      <c r="F4" s="24" t="b">
        <v>0</v>
      </c>
      <c r="G4" s="16"/>
    </row>
    <row r="5" spans="1:14" ht="14.45" customHeight="1" x14ac:dyDescent="0.5">
      <c r="B5" s="29" t="s">
        <v>58</v>
      </c>
      <c r="C5" s="64"/>
      <c r="D5" s="38"/>
      <c r="E5" s="18" t="b">
        <v>0</v>
      </c>
      <c r="F5" s="24" t="b">
        <v>0</v>
      </c>
      <c r="G5" s="16"/>
    </row>
    <row r="6" spans="1:14" ht="14.45" customHeight="1" x14ac:dyDescent="0.5">
      <c r="B6" s="28" t="s">
        <v>59</v>
      </c>
      <c r="C6" s="64"/>
      <c r="D6" s="38"/>
      <c r="E6" s="18" t="b">
        <v>0</v>
      </c>
      <c r="F6" s="24" t="b">
        <v>0</v>
      </c>
      <c r="G6" s="16"/>
    </row>
    <row r="7" spans="1:14" ht="14.45" customHeight="1" x14ac:dyDescent="0.5">
      <c r="B7" s="28" t="s">
        <v>8</v>
      </c>
      <c r="C7" s="64"/>
      <c r="D7" s="38"/>
      <c r="E7" s="18" t="b">
        <v>0</v>
      </c>
      <c r="F7" s="24" t="b">
        <v>0</v>
      </c>
      <c r="G7" s="16"/>
      <c r="H7" s="65" t="s">
        <v>52</v>
      </c>
      <c r="I7" s="67"/>
      <c r="J7" s="68"/>
      <c r="K7" s="68"/>
    </row>
    <row r="8" spans="1:14" ht="14.45" customHeight="1" x14ac:dyDescent="0.5">
      <c r="B8" s="29" t="s">
        <v>9</v>
      </c>
      <c r="C8" s="64"/>
      <c r="D8" s="38"/>
      <c r="E8" s="18" t="b">
        <v>0</v>
      </c>
      <c r="F8" s="24" t="b">
        <v>0</v>
      </c>
      <c r="G8" s="16"/>
      <c r="H8" s="66"/>
      <c r="I8" s="69"/>
      <c r="J8" s="69"/>
      <c r="K8" s="69"/>
    </row>
    <row r="9" spans="1:14" ht="14.45" customHeight="1" x14ac:dyDescent="0.5">
      <c r="B9" s="29" t="s">
        <v>10</v>
      </c>
      <c r="C9" s="64"/>
      <c r="D9" s="38"/>
      <c r="E9" s="18" t="b">
        <v>0</v>
      </c>
      <c r="F9" s="24" t="b">
        <v>0</v>
      </c>
      <c r="G9" s="16"/>
    </row>
    <row r="10" spans="1:14" ht="14.45" customHeight="1" x14ac:dyDescent="0.5">
      <c r="B10" s="28" t="s">
        <v>61</v>
      </c>
      <c r="C10" s="64"/>
      <c r="D10" s="38"/>
      <c r="E10" s="18" t="b">
        <v>0</v>
      </c>
      <c r="F10" s="24" t="b">
        <v>0</v>
      </c>
      <c r="G10" s="16"/>
    </row>
    <row r="11" spans="1:14" ht="14.45" customHeight="1" x14ac:dyDescent="0.5">
      <c r="B11" s="29" t="s">
        <v>12</v>
      </c>
      <c r="C11" s="64"/>
      <c r="D11" s="38"/>
      <c r="E11" s="18" t="b">
        <v>0</v>
      </c>
      <c r="F11" s="24" t="b">
        <v>0</v>
      </c>
      <c r="G11" s="16"/>
    </row>
    <row r="12" spans="1:14" ht="14.45" customHeight="1" x14ac:dyDescent="0.5">
      <c r="B12" s="29" t="s">
        <v>64</v>
      </c>
      <c r="C12" s="64"/>
      <c r="D12" s="38"/>
      <c r="E12" s="18" t="b">
        <v>0</v>
      </c>
      <c r="F12" s="24" t="b">
        <v>0</v>
      </c>
      <c r="G12" s="16"/>
      <c r="I12" s="19"/>
      <c r="J12" s="19"/>
      <c r="K12" s="19"/>
      <c r="L12" s="19"/>
      <c r="M12" s="19"/>
      <c r="N12" s="19"/>
    </row>
    <row r="13" spans="1:14" ht="14.45" customHeight="1" x14ac:dyDescent="0.5">
      <c r="B13" s="29" t="s">
        <v>66</v>
      </c>
      <c r="C13" s="64"/>
      <c r="D13" s="38"/>
      <c r="E13" s="18" t="b">
        <v>0</v>
      </c>
      <c r="F13" s="24" t="b">
        <v>0</v>
      </c>
      <c r="G13" s="16"/>
      <c r="I13" s="19"/>
      <c r="J13" s="70"/>
      <c r="K13" s="71"/>
      <c r="L13" s="71"/>
      <c r="M13" s="71"/>
      <c r="N13" s="19"/>
    </row>
    <row r="14" spans="1:14" ht="14.45" customHeight="1" x14ac:dyDescent="0.5">
      <c r="B14" s="29" t="s">
        <v>67</v>
      </c>
      <c r="C14" s="64"/>
      <c r="D14" s="38"/>
      <c r="E14" s="18" t="b">
        <v>0</v>
      </c>
      <c r="F14" s="24" t="b">
        <v>0</v>
      </c>
      <c r="G14" s="16"/>
      <c r="I14" s="19"/>
      <c r="J14" s="70"/>
      <c r="K14" s="71"/>
      <c r="L14" s="71"/>
      <c r="M14" s="71"/>
      <c r="N14" s="19"/>
    </row>
    <row r="15" spans="1:14" ht="14.45" customHeight="1" x14ac:dyDescent="0.5">
      <c r="A15" s="20"/>
      <c r="B15" s="28" t="s">
        <v>69</v>
      </c>
      <c r="C15" s="64"/>
      <c r="D15" s="38"/>
      <c r="E15" s="18" t="b">
        <v>0</v>
      </c>
      <c r="F15" s="24" t="b">
        <v>0</v>
      </c>
      <c r="G15" s="16"/>
      <c r="I15" s="19"/>
      <c r="J15" s="19"/>
      <c r="K15" s="19"/>
      <c r="L15" s="19"/>
      <c r="M15" s="19"/>
      <c r="N15" s="19"/>
    </row>
    <row r="16" spans="1:14" x14ac:dyDescent="0.5">
      <c r="I16" s="19"/>
      <c r="J16" s="19"/>
      <c r="K16" s="19"/>
      <c r="L16" s="19"/>
      <c r="M16" s="19"/>
      <c r="N16" s="19"/>
    </row>
    <row r="17" spans="4:14" x14ac:dyDescent="0.5">
      <c r="D17" s="25" t="s">
        <v>54</v>
      </c>
      <c r="I17" s="19"/>
      <c r="J17" s="19"/>
      <c r="K17" s="19"/>
      <c r="L17" s="19"/>
      <c r="M17" s="19"/>
      <c r="N17" s="19"/>
    </row>
    <row r="24" spans="4:14" x14ac:dyDescent="0.5">
      <c r="D24" s="11" t="s">
        <v>73</v>
      </c>
    </row>
  </sheetData>
  <sheetProtection algorithmName="SHA-512" hashValue="D9/1Os0C682N5M/A01rONxlSPkZI4VO5PgvaDWNSRO6UZH5duvks4MFaQ35Zc++pI6yCbAI6IVbu5+MedzaR0g==" saltValue="E166MbH240arSx/MuxR43g==" spinCount="100000" sheet="1" objects="1" scenarios="1" selectLockedCells="1" selectUnlockedCells="1"/>
  <mergeCells count="5">
    <mergeCell ref="C2:C15"/>
    <mergeCell ref="H7:H8"/>
    <mergeCell ref="I7:K8"/>
    <mergeCell ref="J13:J14"/>
    <mergeCell ref="K13:M14"/>
  </mergeCells>
  <conditionalFormatting sqref="C2:C15">
    <cfRule type="iconSet" priority="1">
      <iconSet iconSet="3TrafficLights2" showValue="0">
        <cfvo type="percent" val="0"/>
        <cfvo type="num" val="1"/>
        <cfvo type="num" val="14"/>
      </iconSet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7" r:id="rId4" name="CheckBox1">
          <controlPr defaultSize="0" autoLine="0" linkedCell="E2" r:id="rId5">
            <anchor moveWithCells="1">
              <from>
                <xdr:col>0</xdr:col>
                <xdr:colOff>182033</xdr:colOff>
                <xdr:row>1</xdr:row>
                <xdr:rowOff>8467</xdr:rowOff>
              </from>
              <to>
                <xdr:col>0</xdr:col>
                <xdr:colOff>342900</xdr:colOff>
                <xdr:row>1</xdr:row>
                <xdr:rowOff>177800</xdr:rowOff>
              </to>
            </anchor>
          </controlPr>
        </control>
      </mc:Choice>
      <mc:Fallback>
        <control shapeId="2067" r:id="rId4" name="CheckBox1"/>
      </mc:Fallback>
    </mc:AlternateContent>
    <mc:AlternateContent xmlns:mc="http://schemas.openxmlformats.org/markup-compatibility/2006">
      <mc:Choice Requires="x14">
        <control shapeId="2068" r:id="rId6" name="CheckBox2">
          <controlPr defaultSize="0" autoLine="0" linkedCell="E3" r:id="rId5">
            <anchor moveWithCells="1">
              <from>
                <xdr:col>0</xdr:col>
                <xdr:colOff>182033</xdr:colOff>
                <xdr:row>2</xdr:row>
                <xdr:rowOff>8467</xdr:rowOff>
              </from>
              <to>
                <xdr:col>0</xdr:col>
                <xdr:colOff>342900</xdr:colOff>
                <xdr:row>2</xdr:row>
                <xdr:rowOff>177800</xdr:rowOff>
              </to>
            </anchor>
          </controlPr>
        </control>
      </mc:Choice>
      <mc:Fallback>
        <control shapeId="2068" r:id="rId6" name="CheckBox2"/>
      </mc:Fallback>
    </mc:AlternateContent>
    <mc:AlternateContent xmlns:mc="http://schemas.openxmlformats.org/markup-compatibility/2006">
      <mc:Choice Requires="x14">
        <control shapeId="2069" r:id="rId7" name="CheckBox3">
          <controlPr defaultSize="0" autoLine="0" linkedCell="E4" r:id="rId5">
            <anchor moveWithCells="1">
              <from>
                <xdr:col>0</xdr:col>
                <xdr:colOff>182033</xdr:colOff>
                <xdr:row>3</xdr:row>
                <xdr:rowOff>8467</xdr:rowOff>
              </from>
              <to>
                <xdr:col>0</xdr:col>
                <xdr:colOff>342900</xdr:colOff>
                <xdr:row>3</xdr:row>
                <xdr:rowOff>177800</xdr:rowOff>
              </to>
            </anchor>
          </controlPr>
        </control>
      </mc:Choice>
      <mc:Fallback>
        <control shapeId="2069" r:id="rId7" name="CheckBox3"/>
      </mc:Fallback>
    </mc:AlternateContent>
    <mc:AlternateContent xmlns:mc="http://schemas.openxmlformats.org/markup-compatibility/2006">
      <mc:Choice Requires="x14">
        <control shapeId="2070" r:id="rId8" name="CheckBox4">
          <controlPr defaultSize="0" autoLine="0" linkedCell="E5" r:id="rId5">
            <anchor moveWithCells="1">
              <from>
                <xdr:col>0</xdr:col>
                <xdr:colOff>182033</xdr:colOff>
                <xdr:row>4</xdr:row>
                <xdr:rowOff>8467</xdr:rowOff>
              </from>
              <to>
                <xdr:col>0</xdr:col>
                <xdr:colOff>342900</xdr:colOff>
                <xdr:row>4</xdr:row>
                <xdr:rowOff>177800</xdr:rowOff>
              </to>
            </anchor>
          </controlPr>
        </control>
      </mc:Choice>
      <mc:Fallback>
        <control shapeId="2070" r:id="rId8" name="CheckBox4"/>
      </mc:Fallback>
    </mc:AlternateContent>
    <mc:AlternateContent xmlns:mc="http://schemas.openxmlformats.org/markup-compatibility/2006">
      <mc:Choice Requires="x14">
        <control shapeId="2071" r:id="rId9" name="CheckBox5">
          <controlPr defaultSize="0" autoLine="0" linkedCell="E6" r:id="rId5">
            <anchor moveWithCells="1">
              <from>
                <xdr:col>0</xdr:col>
                <xdr:colOff>182033</xdr:colOff>
                <xdr:row>5</xdr:row>
                <xdr:rowOff>8467</xdr:rowOff>
              </from>
              <to>
                <xdr:col>0</xdr:col>
                <xdr:colOff>342900</xdr:colOff>
                <xdr:row>5</xdr:row>
                <xdr:rowOff>177800</xdr:rowOff>
              </to>
            </anchor>
          </controlPr>
        </control>
      </mc:Choice>
      <mc:Fallback>
        <control shapeId="2071" r:id="rId9" name="CheckBox5"/>
      </mc:Fallback>
    </mc:AlternateContent>
    <mc:AlternateContent xmlns:mc="http://schemas.openxmlformats.org/markup-compatibility/2006">
      <mc:Choice Requires="x14">
        <control shapeId="2072" r:id="rId10" name="CheckBox6">
          <controlPr defaultSize="0" autoLine="0" linkedCell="E7" r:id="rId5">
            <anchor moveWithCells="1">
              <from>
                <xdr:col>0</xdr:col>
                <xdr:colOff>182033</xdr:colOff>
                <xdr:row>6</xdr:row>
                <xdr:rowOff>8467</xdr:rowOff>
              </from>
              <to>
                <xdr:col>0</xdr:col>
                <xdr:colOff>342900</xdr:colOff>
                <xdr:row>6</xdr:row>
                <xdr:rowOff>177800</xdr:rowOff>
              </to>
            </anchor>
          </controlPr>
        </control>
      </mc:Choice>
      <mc:Fallback>
        <control shapeId="2072" r:id="rId10" name="CheckBox6"/>
      </mc:Fallback>
    </mc:AlternateContent>
    <mc:AlternateContent xmlns:mc="http://schemas.openxmlformats.org/markup-compatibility/2006">
      <mc:Choice Requires="x14">
        <control shapeId="2073" r:id="rId11" name="CheckBox7">
          <controlPr defaultSize="0" autoLine="0" linkedCell="E8" r:id="rId5">
            <anchor moveWithCells="1">
              <from>
                <xdr:col>0</xdr:col>
                <xdr:colOff>182033</xdr:colOff>
                <xdr:row>7</xdr:row>
                <xdr:rowOff>8467</xdr:rowOff>
              </from>
              <to>
                <xdr:col>0</xdr:col>
                <xdr:colOff>342900</xdr:colOff>
                <xdr:row>7</xdr:row>
                <xdr:rowOff>177800</xdr:rowOff>
              </to>
            </anchor>
          </controlPr>
        </control>
      </mc:Choice>
      <mc:Fallback>
        <control shapeId="2073" r:id="rId11" name="CheckBox7"/>
      </mc:Fallback>
    </mc:AlternateContent>
    <mc:AlternateContent xmlns:mc="http://schemas.openxmlformats.org/markup-compatibility/2006">
      <mc:Choice Requires="x14">
        <control shapeId="2074" r:id="rId12" name="CheckBox8">
          <controlPr defaultSize="0" autoLine="0" linkedCell="E9" r:id="rId5">
            <anchor moveWithCells="1">
              <from>
                <xdr:col>0</xdr:col>
                <xdr:colOff>182033</xdr:colOff>
                <xdr:row>8</xdr:row>
                <xdr:rowOff>8467</xdr:rowOff>
              </from>
              <to>
                <xdr:col>0</xdr:col>
                <xdr:colOff>342900</xdr:colOff>
                <xdr:row>8</xdr:row>
                <xdr:rowOff>177800</xdr:rowOff>
              </to>
            </anchor>
          </controlPr>
        </control>
      </mc:Choice>
      <mc:Fallback>
        <control shapeId="2074" r:id="rId12" name="CheckBox8"/>
      </mc:Fallback>
    </mc:AlternateContent>
    <mc:AlternateContent xmlns:mc="http://schemas.openxmlformats.org/markup-compatibility/2006">
      <mc:Choice Requires="x14">
        <control shapeId="2075" r:id="rId13" name="CheckBox9">
          <controlPr defaultSize="0" autoLine="0" linkedCell="E10" r:id="rId5">
            <anchor moveWithCells="1">
              <from>
                <xdr:col>0</xdr:col>
                <xdr:colOff>182033</xdr:colOff>
                <xdr:row>9</xdr:row>
                <xdr:rowOff>8467</xdr:rowOff>
              </from>
              <to>
                <xdr:col>0</xdr:col>
                <xdr:colOff>342900</xdr:colOff>
                <xdr:row>9</xdr:row>
                <xdr:rowOff>177800</xdr:rowOff>
              </to>
            </anchor>
          </controlPr>
        </control>
      </mc:Choice>
      <mc:Fallback>
        <control shapeId="2075" r:id="rId13" name="CheckBox9"/>
      </mc:Fallback>
    </mc:AlternateContent>
    <mc:AlternateContent xmlns:mc="http://schemas.openxmlformats.org/markup-compatibility/2006">
      <mc:Choice Requires="x14">
        <control shapeId="2076" r:id="rId14" name="CheckBox10">
          <controlPr defaultSize="0" autoLine="0" linkedCell="E11" r:id="rId5">
            <anchor moveWithCells="1">
              <from>
                <xdr:col>0</xdr:col>
                <xdr:colOff>182033</xdr:colOff>
                <xdr:row>10</xdr:row>
                <xdr:rowOff>8467</xdr:rowOff>
              </from>
              <to>
                <xdr:col>0</xdr:col>
                <xdr:colOff>342900</xdr:colOff>
                <xdr:row>10</xdr:row>
                <xdr:rowOff>177800</xdr:rowOff>
              </to>
            </anchor>
          </controlPr>
        </control>
      </mc:Choice>
      <mc:Fallback>
        <control shapeId="2076" r:id="rId14" name="CheckBox10"/>
      </mc:Fallback>
    </mc:AlternateContent>
    <mc:AlternateContent xmlns:mc="http://schemas.openxmlformats.org/markup-compatibility/2006">
      <mc:Choice Requires="x14">
        <control shapeId="2077" r:id="rId15" name="CheckBox11">
          <controlPr defaultSize="0" autoLine="0" linkedCell="E12" r:id="rId5">
            <anchor moveWithCells="1">
              <from>
                <xdr:col>0</xdr:col>
                <xdr:colOff>182033</xdr:colOff>
                <xdr:row>11</xdr:row>
                <xdr:rowOff>8467</xdr:rowOff>
              </from>
              <to>
                <xdr:col>0</xdr:col>
                <xdr:colOff>342900</xdr:colOff>
                <xdr:row>11</xdr:row>
                <xdr:rowOff>177800</xdr:rowOff>
              </to>
            </anchor>
          </controlPr>
        </control>
      </mc:Choice>
      <mc:Fallback>
        <control shapeId="2077" r:id="rId15" name="CheckBox11"/>
      </mc:Fallback>
    </mc:AlternateContent>
    <mc:AlternateContent xmlns:mc="http://schemas.openxmlformats.org/markup-compatibility/2006">
      <mc:Choice Requires="x14">
        <control shapeId="2078" r:id="rId16" name="CheckBox12">
          <controlPr defaultSize="0" autoLine="0" linkedCell="E13" r:id="rId5">
            <anchor moveWithCells="1">
              <from>
                <xdr:col>0</xdr:col>
                <xdr:colOff>182033</xdr:colOff>
                <xdr:row>12</xdr:row>
                <xdr:rowOff>8467</xdr:rowOff>
              </from>
              <to>
                <xdr:col>0</xdr:col>
                <xdr:colOff>342900</xdr:colOff>
                <xdr:row>12</xdr:row>
                <xdr:rowOff>177800</xdr:rowOff>
              </to>
            </anchor>
          </controlPr>
        </control>
      </mc:Choice>
      <mc:Fallback>
        <control shapeId="2078" r:id="rId16" name="CheckBox12"/>
      </mc:Fallback>
    </mc:AlternateContent>
    <mc:AlternateContent xmlns:mc="http://schemas.openxmlformats.org/markup-compatibility/2006">
      <mc:Choice Requires="x14">
        <control shapeId="2079" r:id="rId17" name="CheckBox13">
          <controlPr defaultSize="0" autoLine="0" linkedCell="E14" r:id="rId5">
            <anchor moveWithCells="1">
              <from>
                <xdr:col>0</xdr:col>
                <xdr:colOff>182033</xdr:colOff>
                <xdr:row>13</xdr:row>
                <xdr:rowOff>8467</xdr:rowOff>
              </from>
              <to>
                <xdr:col>0</xdr:col>
                <xdr:colOff>342900</xdr:colOff>
                <xdr:row>13</xdr:row>
                <xdr:rowOff>177800</xdr:rowOff>
              </to>
            </anchor>
          </controlPr>
        </control>
      </mc:Choice>
      <mc:Fallback>
        <control shapeId="2079" r:id="rId17" name="CheckBox13"/>
      </mc:Fallback>
    </mc:AlternateContent>
    <mc:AlternateContent xmlns:mc="http://schemas.openxmlformats.org/markup-compatibility/2006">
      <mc:Choice Requires="x14">
        <control shapeId="2080" r:id="rId18" name="CheckBox14">
          <controlPr defaultSize="0" autoLine="0" linkedCell="E15" r:id="rId5">
            <anchor moveWithCells="1">
              <from>
                <xdr:col>0</xdr:col>
                <xdr:colOff>182033</xdr:colOff>
                <xdr:row>14</xdr:row>
                <xdr:rowOff>8467</xdr:rowOff>
              </from>
              <to>
                <xdr:col>0</xdr:col>
                <xdr:colOff>342900</xdr:colOff>
                <xdr:row>14</xdr:row>
                <xdr:rowOff>177800</xdr:rowOff>
              </to>
            </anchor>
          </controlPr>
        </control>
      </mc:Choice>
      <mc:Fallback>
        <control shapeId="2080" r:id="rId18" name="CheckBox14"/>
      </mc:Fallback>
    </mc:AlternateContent>
    <mc:AlternateContent xmlns:mc="http://schemas.openxmlformats.org/markup-compatibility/2006">
      <mc:Choice Requires="x14">
        <control shapeId="2081" r:id="rId19" name="TextBox1">
          <controlPr defaultSize="0" autoLine="0" r:id="rId20">
            <anchor moveWithCells="1">
              <from>
                <xdr:col>7</xdr:col>
                <xdr:colOff>1354667</xdr:colOff>
                <xdr:row>6</xdr:row>
                <xdr:rowOff>46567</xdr:rowOff>
              </from>
              <to>
                <xdr:col>10</xdr:col>
                <xdr:colOff>495300</xdr:colOff>
                <xdr:row>7</xdr:row>
                <xdr:rowOff>148167</xdr:rowOff>
              </to>
            </anchor>
          </controlPr>
        </control>
      </mc:Choice>
      <mc:Fallback>
        <control shapeId="2081" r:id="rId19" name="Text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29FC5"/>
  </sheetPr>
  <dimension ref="B2:K15"/>
  <sheetViews>
    <sheetView showRowColHeaders="0" zoomScaleNormal="100" workbookViewId="0">
      <selection activeCell="I3" sqref="I3"/>
    </sheetView>
  </sheetViews>
  <sheetFormatPr defaultColWidth="8.87890625" defaultRowHeight="14.35" x14ac:dyDescent="0.5"/>
  <cols>
    <col min="1" max="1" width="5" style="11" customWidth="1"/>
    <col min="2" max="2" width="65" style="11" customWidth="1"/>
    <col min="3" max="3" width="8.87890625" style="11"/>
    <col min="4" max="4" width="20.52734375" style="11" customWidth="1"/>
    <col min="5" max="6" width="8.87890625" style="16" hidden="1" customWidth="1"/>
    <col min="7" max="7" width="8.87890625" style="16" customWidth="1"/>
    <col min="8" max="8" width="20.76171875" style="11" customWidth="1"/>
    <col min="9" max="10" width="8.87890625" style="11"/>
    <col min="11" max="11" width="9.234375" style="11" customWidth="1"/>
    <col min="12" max="16384" width="8.87890625" style="11"/>
  </cols>
  <sheetData>
    <row r="2" spans="2:11" x14ac:dyDescent="0.5">
      <c r="B2" s="30" t="s">
        <v>62</v>
      </c>
      <c r="C2" s="76">
        <f>COUNTIF(E2:E7,TRUE)</f>
        <v>0</v>
      </c>
      <c r="D2" s="42"/>
      <c r="E2" s="18" t="b">
        <v>0</v>
      </c>
      <c r="F2" s="24" t="b">
        <v>0</v>
      </c>
    </row>
    <row r="3" spans="2:11" ht="14.45" customHeight="1" x14ac:dyDescent="0.5">
      <c r="B3" s="31" t="s">
        <v>63</v>
      </c>
      <c r="C3" s="76"/>
      <c r="D3" s="42"/>
      <c r="E3" s="18" t="b">
        <v>0</v>
      </c>
      <c r="F3" s="24" t="b">
        <v>0</v>
      </c>
    </row>
    <row r="4" spans="2:11" ht="14.45" customHeight="1" x14ac:dyDescent="0.5">
      <c r="B4" s="31" t="s">
        <v>14</v>
      </c>
      <c r="C4" s="76"/>
      <c r="D4" s="43"/>
      <c r="E4" s="18" t="b">
        <v>0</v>
      </c>
      <c r="F4" s="24" t="b">
        <v>0</v>
      </c>
    </row>
    <row r="5" spans="2:11" ht="14.45" customHeight="1" x14ac:dyDescent="0.5">
      <c r="B5" s="31" t="s">
        <v>45</v>
      </c>
      <c r="C5" s="76"/>
      <c r="D5" s="43"/>
      <c r="E5" s="18" t="b">
        <v>0</v>
      </c>
      <c r="F5" s="24" t="b">
        <v>0</v>
      </c>
    </row>
    <row r="6" spans="2:11" ht="14.45" customHeight="1" x14ac:dyDescent="0.5">
      <c r="B6" s="31" t="s">
        <v>15</v>
      </c>
      <c r="C6" s="76"/>
      <c r="D6" s="43"/>
      <c r="E6" s="18" t="b">
        <v>0</v>
      </c>
      <c r="F6" s="24" t="b">
        <v>0</v>
      </c>
    </row>
    <row r="7" spans="2:11" ht="14.45" customHeight="1" x14ac:dyDescent="0.5">
      <c r="B7" s="31" t="s">
        <v>68</v>
      </c>
      <c r="C7" s="76"/>
      <c r="D7" s="43"/>
      <c r="E7" s="18" t="b">
        <v>0</v>
      </c>
      <c r="F7" s="24" t="b">
        <v>0</v>
      </c>
      <c r="H7" s="72" t="s">
        <v>52</v>
      </c>
      <c r="I7" s="74"/>
      <c r="J7" s="74"/>
      <c r="K7" s="74"/>
    </row>
    <row r="8" spans="2:11" x14ac:dyDescent="0.5">
      <c r="D8" s="40"/>
      <c r="H8" s="73"/>
      <c r="I8" s="75"/>
      <c r="J8" s="75"/>
      <c r="K8" s="75"/>
    </row>
    <row r="9" spans="2:11" x14ac:dyDescent="0.5">
      <c r="D9" s="25" t="s">
        <v>55</v>
      </c>
    </row>
    <row r="10" spans="2:11" x14ac:dyDescent="0.5">
      <c r="D10" s="40"/>
    </row>
    <row r="11" spans="2:11" x14ac:dyDescent="0.5">
      <c r="D11" s="40"/>
    </row>
    <row r="12" spans="2:11" x14ac:dyDescent="0.5">
      <c r="D12" s="40"/>
    </row>
    <row r="13" spans="2:11" x14ac:dyDescent="0.5">
      <c r="D13" s="40"/>
    </row>
    <row r="14" spans="2:11" x14ac:dyDescent="0.5">
      <c r="C14" s="41"/>
      <c r="D14" s="40"/>
    </row>
    <row r="15" spans="2:11" x14ac:dyDescent="0.5">
      <c r="D15" s="40"/>
    </row>
  </sheetData>
  <sheetProtection algorithmName="SHA-512" hashValue="8A8CTBOesxZlxl4dFZepS81XDLHvQJMNtKUOX9xZXWrKYfNLyez3p2+ew2FU0ThSxP+FwCayZJgKpOuD0QptnQ==" saltValue="ZtD/dKbP+G/k3eqZTdBjaQ==" spinCount="100000" sheet="1" objects="1" scenarios="1" selectLockedCells="1" selectUnlockedCells="1"/>
  <mergeCells count="3">
    <mergeCell ref="H7:H8"/>
    <mergeCell ref="I7:K8"/>
    <mergeCell ref="C2:C7"/>
  </mergeCells>
  <conditionalFormatting sqref="C2">
    <cfRule type="iconSet" priority="1">
      <iconSet iconSet="3TrafficLights2" showValue="0">
        <cfvo type="percent" val="0"/>
        <cfvo type="num" val="1"/>
        <cfvo type="num" val="6"/>
      </iconSe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116" r:id="rId4" name="CheckBox2">
          <controlPr defaultSize="0" autoLine="0" linkedCell="E3" r:id="rId5">
            <anchor moveWithCells="1">
              <from>
                <xdr:col>0</xdr:col>
                <xdr:colOff>182033</xdr:colOff>
                <xdr:row>2</xdr:row>
                <xdr:rowOff>8467</xdr:rowOff>
              </from>
              <to>
                <xdr:col>0</xdr:col>
                <xdr:colOff>342900</xdr:colOff>
                <xdr:row>2</xdr:row>
                <xdr:rowOff>177800</xdr:rowOff>
              </to>
            </anchor>
          </controlPr>
        </control>
      </mc:Choice>
      <mc:Fallback>
        <control shapeId="3116" r:id="rId4" name="CheckBox2"/>
      </mc:Fallback>
    </mc:AlternateContent>
    <mc:AlternateContent xmlns:mc="http://schemas.openxmlformats.org/markup-compatibility/2006">
      <mc:Choice Requires="x14">
        <control shapeId="3117" r:id="rId6" name="CheckBox3">
          <controlPr defaultSize="0" autoLine="0" linkedCell="E4" r:id="rId5">
            <anchor moveWithCells="1">
              <from>
                <xdr:col>0</xdr:col>
                <xdr:colOff>182033</xdr:colOff>
                <xdr:row>3</xdr:row>
                <xdr:rowOff>8467</xdr:rowOff>
              </from>
              <to>
                <xdr:col>0</xdr:col>
                <xdr:colOff>342900</xdr:colOff>
                <xdr:row>3</xdr:row>
                <xdr:rowOff>177800</xdr:rowOff>
              </to>
            </anchor>
          </controlPr>
        </control>
      </mc:Choice>
      <mc:Fallback>
        <control shapeId="3117" r:id="rId6" name="CheckBox3"/>
      </mc:Fallback>
    </mc:AlternateContent>
    <mc:AlternateContent xmlns:mc="http://schemas.openxmlformats.org/markup-compatibility/2006">
      <mc:Choice Requires="x14">
        <control shapeId="3118" r:id="rId7" name="CheckBox4">
          <controlPr defaultSize="0" autoLine="0" linkedCell="E5" r:id="rId5">
            <anchor moveWithCells="1">
              <from>
                <xdr:col>0</xdr:col>
                <xdr:colOff>182033</xdr:colOff>
                <xdr:row>4</xdr:row>
                <xdr:rowOff>8467</xdr:rowOff>
              </from>
              <to>
                <xdr:col>0</xdr:col>
                <xdr:colOff>342900</xdr:colOff>
                <xdr:row>4</xdr:row>
                <xdr:rowOff>177800</xdr:rowOff>
              </to>
            </anchor>
          </controlPr>
        </control>
      </mc:Choice>
      <mc:Fallback>
        <control shapeId="3118" r:id="rId7" name="CheckBox4"/>
      </mc:Fallback>
    </mc:AlternateContent>
    <mc:AlternateContent xmlns:mc="http://schemas.openxmlformats.org/markup-compatibility/2006">
      <mc:Choice Requires="x14">
        <control shapeId="3119" r:id="rId8" name="CheckBox5">
          <controlPr defaultSize="0" autoLine="0" linkedCell="E6" r:id="rId5">
            <anchor moveWithCells="1">
              <from>
                <xdr:col>0</xdr:col>
                <xdr:colOff>182033</xdr:colOff>
                <xdr:row>5</xdr:row>
                <xdr:rowOff>8467</xdr:rowOff>
              </from>
              <to>
                <xdr:col>0</xdr:col>
                <xdr:colOff>342900</xdr:colOff>
                <xdr:row>5</xdr:row>
                <xdr:rowOff>177800</xdr:rowOff>
              </to>
            </anchor>
          </controlPr>
        </control>
      </mc:Choice>
      <mc:Fallback>
        <control shapeId="3119" r:id="rId8" name="CheckBox5"/>
      </mc:Fallback>
    </mc:AlternateContent>
    <mc:AlternateContent xmlns:mc="http://schemas.openxmlformats.org/markup-compatibility/2006">
      <mc:Choice Requires="x14">
        <control shapeId="3120" r:id="rId9" name="CheckBox6">
          <controlPr defaultSize="0" autoLine="0" linkedCell="E7" r:id="rId5">
            <anchor moveWithCells="1">
              <from>
                <xdr:col>0</xdr:col>
                <xdr:colOff>182033</xdr:colOff>
                <xdr:row>6</xdr:row>
                <xdr:rowOff>8467</xdr:rowOff>
              </from>
              <to>
                <xdr:col>0</xdr:col>
                <xdr:colOff>342900</xdr:colOff>
                <xdr:row>6</xdr:row>
                <xdr:rowOff>177800</xdr:rowOff>
              </to>
            </anchor>
          </controlPr>
        </control>
      </mc:Choice>
      <mc:Fallback>
        <control shapeId="3120" r:id="rId9" name="CheckBox6"/>
      </mc:Fallback>
    </mc:AlternateContent>
    <mc:AlternateContent xmlns:mc="http://schemas.openxmlformats.org/markup-compatibility/2006">
      <mc:Choice Requires="x14">
        <control shapeId="3121" r:id="rId10" name="CheckBox1">
          <controlPr defaultSize="0" autoLine="0" linkedCell="E2" r:id="rId5">
            <anchor moveWithCells="1">
              <from>
                <xdr:col>0</xdr:col>
                <xdr:colOff>173567</xdr:colOff>
                <xdr:row>1</xdr:row>
                <xdr:rowOff>0</xdr:rowOff>
              </from>
              <to>
                <xdr:col>0</xdr:col>
                <xdr:colOff>334433</xdr:colOff>
                <xdr:row>1</xdr:row>
                <xdr:rowOff>169333</xdr:rowOff>
              </to>
            </anchor>
          </controlPr>
        </control>
      </mc:Choice>
      <mc:Fallback>
        <control shapeId="3121" r:id="rId10" name="CheckBox1"/>
      </mc:Fallback>
    </mc:AlternateContent>
    <mc:AlternateContent xmlns:mc="http://schemas.openxmlformats.org/markup-compatibility/2006">
      <mc:Choice Requires="x14">
        <control shapeId="3126" r:id="rId11" name="TextBox1">
          <controlPr defaultSize="0" autoLine="0" r:id="rId12">
            <anchor moveWithCells="1">
              <from>
                <xdr:col>7</xdr:col>
                <xdr:colOff>1363133</xdr:colOff>
                <xdr:row>6</xdr:row>
                <xdr:rowOff>55033</xdr:rowOff>
              </from>
              <to>
                <xdr:col>10</xdr:col>
                <xdr:colOff>503767</xdr:colOff>
                <xdr:row>7</xdr:row>
                <xdr:rowOff>156633</xdr:rowOff>
              </to>
            </anchor>
          </controlPr>
        </control>
      </mc:Choice>
      <mc:Fallback>
        <control shapeId="3126" r:id="rId11" name="Text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82D0F5"/>
  </sheetPr>
  <dimension ref="B2:K8"/>
  <sheetViews>
    <sheetView showRowColHeaders="0" zoomScaleNormal="100" workbookViewId="0">
      <selection activeCell="G5" sqref="G5"/>
    </sheetView>
  </sheetViews>
  <sheetFormatPr defaultColWidth="8.87890625" defaultRowHeight="14.35" x14ac:dyDescent="0.5"/>
  <cols>
    <col min="1" max="1" width="5" style="11" customWidth="1"/>
    <col min="2" max="2" width="47.76171875" style="11" customWidth="1"/>
    <col min="3" max="3" width="9.64453125" style="11" bestFit="1" customWidth="1"/>
    <col min="4" max="4" width="20.52734375" style="11" customWidth="1"/>
    <col min="5" max="6" width="8.87890625" style="11" hidden="1" customWidth="1"/>
    <col min="7" max="7" width="8.87890625" style="11" customWidth="1"/>
    <col min="8" max="8" width="20.76171875" style="11" customWidth="1"/>
    <col min="9" max="16384" width="8.87890625" style="11"/>
  </cols>
  <sheetData>
    <row r="2" spans="2:11" ht="14.45" customHeight="1" x14ac:dyDescent="0.5">
      <c r="B2" s="32" t="s">
        <v>7</v>
      </c>
      <c r="C2" s="76">
        <f>COUNTIF(E2:E4,TRUE)</f>
        <v>0</v>
      </c>
      <c r="D2" s="43"/>
      <c r="E2" s="18" t="b">
        <v>0</v>
      </c>
      <c r="F2" s="24" t="b">
        <v>0</v>
      </c>
      <c r="G2" s="16"/>
    </row>
    <row r="3" spans="2:11" ht="14.45" customHeight="1" x14ac:dyDescent="0.5">
      <c r="B3" s="32" t="s">
        <v>46</v>
      </c>
      <c r="C3" s="76"/>
      <c r="D3" s="43"/>
      <c r="E3" s="18" t="b">
        <v>0</v>
      </c>
      <c r="F3" s="24" t="b">
        <v>0</v>
      </c>
      <c r="G3" s="16"/>
    </row>
    <row r="4" spans="2:11" ht="14.45" customHeight="1" x14ac:dyDescent="0.5">
      <c r="B4" s="32" t="s">
        <v>51</v>
      </c>
      <c r="C4" s="76"/>
      <c r="D4" s="44"/>
      <c r="E4" s="18" t="b">
        <v>0</v>
      </c>
      <c r="F4" s="24" t="b">
        <v>0</v>
      </c>
      <c r="G4" s="16"/>
    </row>
    <row r="6" spans="2:11" x14ac:dyDescent="0.5">
      <c r="D6" s="25" t="s">
        <v>55</v>
      </c>
    </row>
    <row r="7" spans="2:11" x14ac:dyDescent="0.5">
      <c r="H7" s="72" t="s">
        <v>52</v>
      </c>
      <c r="I7" s="74"/>
      <c r="J7" s="74"/>
      <c r="K7" s="74"/>
    </row>
    <row r="8" spans="2:11" x14ac:dyDescent="0.5">
      <c r="H8" s="73"/>
      <c r="I8" s="75"/>
      <c r="J8" s="75"/>
      <c r="K8" s="75"/>
    </row>
  </sheetData>
  <sheetProtection algorithmName="SHA-512" hashValue="hTXqFt5vu1bDqk0rdzKaSoGwR5e1lFF37gHtMIEThfQZq1tcRd/I+u65VyXYYQ31gNetaedvHNIwNx+2C+jR2Q==" saltValue="VlUN+QV+fjEYMuezYkFVvQ==" spinCount="100000" sheet="1" objects="1" scenarios="1" selectLockedCells="1" selectUnlockedCells="1"/>
  <mergeCells count="3">
    <mergeCell ref="C2:C4"/>
    <mergeCell ref="H7:H8"/>
    <mergeCell ref="I7:K8"/>
  </mergeCells>
  <conditionalFormatting sqref="C2">
    <cfRule type="iconSet" priority="1">
      <iconSet iconSet="3TrafficLights2" showValue="0">
        <cfvo type="percent" val="0"/>
        <cfvo type="num" val="1"/>
        <cfvo type="num" val="3"/>
      </iconSet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heckBox1">
          <controlPr defaultSize="0" autoLine="0" linkedCell="E2" r:id="rId4">
            <anchor moveWithCells="1">
              <from>
                <xdr:col>0</xdr:col>
                <xdr:colOff>182033</xdr:colOff>
                <xdr:row>1</xdr:row>
                <xdr:rowOff>8467</xdr:rowOff>
              </from>
              <to>
                <xdr:col>0</xdr:col>
                <xdr:colOff>342900</xdr:colOff>
                <xdr:row>1</xdr:row>
                <xdr:rowOff>177800</xdr:rowOff>
              </to>
            </anchor>
          </controlPr>
        </control>
      </mc:Choice>
      <mc:Fallback>
        <control shapeId="4097" r:id="rId3" name="CheckBox1"/>
      </mc:Fallback>
    </mc:AlternateContent>
    <mc:AlternateContent xmlns:mc="http://schemas.openxmlformats.org/markup-compatibility/2006">
      <mc:Choice Requires="x14">
        <control shapeId="4098" r:id="rId5" name="CheckBox2">
          <controlPr defaultSize="0" autoLine="0" linkedCell="E3" r:id="rId4">
            <anchor moveWithCells="1">
              <from>
                <xdr:col>0</xdr:col>
                <xdr:colOff>182033</xdr:colOff>
                <xdr:row>2</xdr:row>
                <xdr:rowOff>8467</xdr:rowOff>
              </from>
              <to>
                <xdr:col>0</xdr:col>
                <xdr:colOff>342900</xdr:colOff>
                <xdr:row>2</xdr:row>
                <xdr:rowOff>177800</xdr:rowOff>
              </to>
            </anchor>
          </controlPr>
        </control>
      </mc:Choice>
      <mc:Fallback>
        <control shapeId="4098" r:id="rId5" name="CheckBox2"/>
      </mc:Fallback>
    </mc:AlternateContent>
    <mc:AlternateContent xmlns:mc="http://schemas.openxmlformats.org/markup-compatibility/2006">
      <mc:Choice Requires="x14">
        <control shapeId="4099" r:id="rId6" name="CheckBox3">
          <controlPr defaultSize="0" autoLine="0" linkedCell="E4" r:id="rId4">
            <anchor moveWithCells="1">
              <from>
                <xdr:col>0</xdr:col>
                <xdr:colOff>182033</xdr:colOff>
                <xdr:row>3</xdr:row>
                <xdr:rowOff>8467</xdr:rowOff>
              </from>
              <to>
                <xdr:col>0</xdr:col>
                <xdr:colOff>342900</xdr:colOff>
                <xdr:row>3</xdr:row>
                <xdr:rowOff>177800</xdr:rowOff>
              </to>
            </anchor>
          </controlPr>
        </control>
      </mc:Choice>
      <mc:Fallback>
        <control shapeId="4099" r:id="rId6" name="CheckBox3"/>
      </mc:Fallback>
    </mc:AlternateContent>
    <mc:AlternateContent xmlns:mc="http://schemas.openxmlformats.org/markup-compatibility/2006">
      <mc:Choice Requires="x14">
        <control shapeId="4103" r:id="rId7" name="TextBox1">
          <controlPr defaultSize="0" autoLine="0" r:id="rId8">
            <anchor moveWithCells="1">
              <from>
                <xdr:col>7</xdr:col>
                <xdr:colOff>1350433</xdr:colOff>
                <xdr:row>6</xdr:row>
                <xdr:rowOff>46567</xdr:rowOff>
              </from>
              <to>
                <xdr:col>10</xdr:col>
                <xdr:colOff>491067</xdr:colOff>
                <xdr:row>7</xdr:row>
                <xdr:rowOff>148167</xdr:rowOff>
              </to>
            </anchor>
          </controlPr>
        </control>
      </mc:Choice>
      <mc:Fallback>
        <control shapeId="4103" r:id="rId7" name="Text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E69F"/>
  </sheetPr>
  <dimension ref="B2:K23"/>
  <sheetViews>
    <sheetView showRowColHeaders="0" zoomScaleNormal="100" workbookViewId="0">
      <selection activeCell="J5" sqref="J5"/>
    </sheetView>
  </sheetViews>
  <sheetFormatPr defaultColWidth="8.87890625" defaultRowHeight="14.35" x14ac:dyDescent="0.5"/>
  <cols>
    <col min="1" max="1" width="5" style="11" customWidth="1"/>
    <col min="2" max="2" width="68.3515625" style="11" customWidth="1"/>
    <col min="3" max="3" width="8.87890625" style="11"/>
    <col min="4" max="4" width="20.52734375" style="11" customWidth="1"/>
    <col min="5" max="6" width="8.87890625" style="11" hidden="1" customWidth="1"/>
    <col min="7" max="7" width="8.87890625" style="11" customWidth="1"/>
    <col min="8" max="8" width="20.76171875" style="11" customWidth="1"/>
    <col min="9" max="16384" width="8.87890625" style="11"/>
  </cols>
  <sheetData>
    <row r="2" spans="2:11" ht="14.45" customHeight="1" x14ac:dyDescent="0.5">
      <c r="B2" s="33" t="s">
        <v>16</v>
      </c>
      <c r="C2" s="76">
        <f>COUNTIF(E2:E21,TRUE)</f>
        <v>0</v>
      </c>
      <c r="D2" s="43"/>
      <c r="E2" s="18" t="b">
        <v>0</v>
      </c>
      <c r="F2" s="24" t="b">
        <v>0</v>
      </c>
      <c r="G2" s="16"/>
    </row>
    <row r="3" spans="2:11" ht="14.45" customHeight="1" x14ac:dyDescent="0.5">
      <c r="B3" s="34" t="s">
        <v>17</v>
      </c>
      <c r="C3" s="76"/>
      <c r="D3" s="43"/>
      <c r="E3" s="18" t="b">
        <v>0</v>
      </c>
      <c r="F3" s="24" t="b">
        <v>0</v>
      </c>
      <c r="G3" s="16"/>
    </row>
    <row r="4" spans="2:11" ht="14.45" customHeight="1" x14ac:dyDescent="0.5">
      <c r="B4" s="34" t="s">
        <v>18</v>
      </c>
      <c r="C4" s="76"/>
      <c r="D4" s="43"/>
      <c r="E4" s="18" t="b">
        <v>0</v>
      </c>
      <c r="F4" s="24" t="b">
        <v>0</v>
      </c>
      <c r="G4" s="16"/>
    </row>
    <row r="5" spans="2:11" ht="14.45" customHeight="1" x14ac:dyDescent="0.5">
      <c r="B5" s="34" t="s">
        <v>19</v>
      </c>
      <c r="C5" s="76"/>
      <c r="D5" s="43"/>
      <c r="E5" s="18" t="b">
        <v>0</v>
      </c>
      <c r="F5" s="24" t="b">
        <v>0</v>
      </c>
      <c r="G5" s="16"/>
    </row>
    <row r="6" spans="2:11" ht="14.45" customHeight="1" x14ac:dyDescent="0.5">
      <c r="B6" s="34" t="s">
        <v>20</v>
      </c>
      <c r="C6" s="76"/>
      <c r="D6" s="43"/>
      <c r="E6" s="18" t="b">
        <v>0</v>
      </c>
      <c r="F6" s="24" t="b">
        <v>0</v>
      </c>
      <c r="G6" s="16"/>
    </row>
    <row r="7" spans="2:11" ht="14.45" customHeight="1" x14ac:dyDescent="0.5">
      <c r="B7" s="34" t="s">
        <v>21</v>
      </c>
      <c r="C7" s="76"/>
      <c r="D7" s="43"/>
      <c r="E7" s="18" t="b">
        <v>0</v>
      </c>
      <c r="F7" s="24" t="b">
        <v>0</v>
      </c>
      <c r="G7" s="16"/>
      <c r="H7" s="72" t="s">
        <v>52</v>
      </c>
      <c r="I7" s="74"/>
      <c r="J7" s="74"/>
      <c r="K7" s="74"/>
    </row>
    <row r="8" spans="2:11" ht="14.45" customHeight="1" x14ac:dyDescent="0.5">
      <c r="B8" s="34" t="s">
        <v>22</v>
      </c>
      <c r="C8" s="76"/>
      <c r="D8" s="43"/>
      <c r="E8" s="18" t="b">
        <v>0</v>
      </c>
      <c r="F8" s="24" t="b">
        <v>0</v>
      </c>
      <c r="G8" s="16"/>
      <c r="H8" s="73"/>
      <c r="I8" s="75"/>
      <c r="J8" s="75"/>
      <c r="K8" s="75"/>
    </row>
    <row r="9" spans="2:11" ht="14.45" customHeight="1" x14ac:dyDescent="0.5">
      <c r="B9" s="34" t="s">
        <v>70</v>
      </c>
      <c r="C9" s="76"/>
      <c r="D9" s="43"/>
      <c r="E9" s="18" t="b">
        <v>0</v>
      </c>
      <c r="F9" s="24" t="b">
        <v>0</v>
      </c>
      <c r="G9" s="16"/>
    </row>
    <row r="10" spans="2:11" ht="14.45" customHeight="1" x14ac:dyDescent="0.5">
      <c r="B10" s="34" t="s">
        <v>22</v>
      </c>
      <c r="C10" s="76"/>
      <c r="D10" s="43"/>
      <c r="E10" s="18" t="b">
        <v>0</v>
      </c>
      <c r="F10" s="24" t="b">
        <v>0</v>
      </c>
      <c r="G10" s="16"/>
    </row>
    <row r="11" spans="2:11" ht="14.45" customHeight="1" x14ac:dyDescent="0.5">
      <c r="B11" s="34" t="s">
        <v>71</v>
      </c>
      <c r="C11" s="76"/>
      <c r="D11" s="43"/>
      <c r="E11" s="18" t="b">
        <v>0</v>
      </c>
      <c r="F11" s="24" t="b">
        <v>0</v>
      </c>
      <c r="G11" s="16"/>
    </row>
    <row r="12" spans="2:11" ht="14.45" customHeight="1" x14ac:dyDescent="0.5">
      <c r="B12" s="34" t="s">
        <v>23</v>
      </c>
      <c r="C12" s="76"/>
      <c r="D12" s="43"/>
      <c r="E12" s="18" t="b">
        <v>0</v>
      </c>
      <c r="F12" s="24" t="b">
        <v>0</v>
      </c>
      <c r="G12" s="16"/>
    </row>
    <row r="13" spans="2:11" ht="14.45" customHeight="1" x14ac:dyDescent="0.5">
      <c r="B13" s="34" t="s">
        <v>24</v>
      </c>
      <c r="C13" s="76"/>
      <c r="D13" s="43"/>
      <c r="E13" s="18" t="b">
        <v>0</v>
      </c>
      <c r="F13" s="24" t="b">
        <v>0</v>
      </c>
      <c r="G13" s="16"/>
    </row>
    <row r="14" spans="2:11" ht="14.45" customHeight="1" x14ac:dyDescent="0.5">
      <c r="B14" s="34" t="s">
        <v>25</v>
      </c>
      <c r="C14" s="76"/>
      <c r="D14" s="43"/>
      <c r="E14" s="18" t="b">
        <v>0</v>
      </c>
      <c r="F14" s="24" t="b">
        <v>0</v>
      </c>
      <c r="G14" s="16"/>
    </row>
    <row r="15" spans="2:11" ht="14.45" customHeight="1" x14ac:dyDescent="0.5">
      <c r="B15" s="34" t="s">
        <v>26</v>
      </c>
      <c r="C15" s="76"/>
      <c r="D15" s="43"/>
      <c r="E15" s="18" t="b">
        <v>0</v>
      </c>
      <c r="F15" s="24" t="b">
        <v>0</v>
      </c>
      <c r="G15" s="16"/>
    </row>
    <row r="16" spans="2:11" ht="14.45" customHeight="1" x14ac:dyDescent="0.5">
      <c r="B16" s="34" t="s">
        <v>27</v>
      </c>
      <c r="C16" s="76"/>
      <c r="D16" s="43"/>
      <c r="E16" s="18" t="b">
        <v>0</v>
      </c>
      <c r="F16" s="24" t="b">
        <v>0</v>
      </c>
      <c r="G16" s="16"/>
    </row>
    <row r="17" spans="2:7" ht="14.45" customHeight="1" x14ac:dyDescent="0.5">
      <c r="B17" s="34" t="s">
        <v>28</v>
      </c>
      <c r="C17" s="76"/>
      <c r="D17" s="43"/>
      <c r="E17" s="18" t="b">
        <v>0</v>
      </c>
      <c r="F17" s="24" t="b">
        <v>0</v>
      </c>
      <c r="G17" s="16"/>
    </row>
    <row r="18" spans="2:7" ht="14.45" customHeight="1" x14ac:dyDescent="0.5">
      <c r="B18" s="34" t="s">
        <v>29</v>
      </c>
      <c r="C18" s="76"/>
      <c r="D18" s="43"/>
      <c r="E18" s="18" t="b">
        <v>0</v>
      </c>
      <c r="F18" s="24" t="b">
        <v>0</v>
      </c>
      <c r="G18" s="16"/>
    </row>
    <row r="19" spans="2:7" ht="14.45" customHeight="1" x14ac:dyDescent="0.5">
      <c r="B19" s="34" t="s">
        <v>30</v>
      </c>
      <c r="C19" s="76"/>
      <c r="D19" s="43"/>
      <c r="E19" s="18" t="b">
        <v>0</v>
      </c>
      <c r="F19" s="24" t="b">
        <v>0</v>
      </c>
      <c r="G19" s="16"/>
    </row>
    <row r="20" spans="2:7" ht="14.45" customHeight="1" x14ac:dyDescent="0.5">
      <c r="B20" s="34" t="s">
        <v>31</v>
      </c>
      <c r="C20" s="76"/>
      <c r="D20" s="43"/>
      <c r="E20" s="18" t="b">
        <v>0</v>
      </c>
      <c r="F20" s="24" t="b">
        <v>0</v>
      </c>
      <c r="G20" s="16"/>
    </row>
    <row r="21" spans="2:7" ht="14.45" customHeight="1" x14ac:dyDescent="0.5">
      <c r="B21" s="33" t="s">
        <v>32</v>
      </c>
      <c r="C21" s="76"/>
      <c r="D21" s="43"/>
      <c r="E21" s="18" t="b">
        <v>0</v>
      </c>
      <c r="F21" s="24" t="b">
        <v>0</v>
      </c>
      <c r="G21" s="16"/>
    </row>
    <row r="22" spans="2:7" x14ac:dyDescent="0.5">
      <c r="E22" s="21"/>
      <c r="F22" s="21"/>
      <c r="G22" s="21"/>
    </row>
    <row r="23" spans="2:7" x14ac:dyDescent="0.5">
      <c r="D23" s="25" t="s">
        <v>55</v>
      </c>
    </row>
  </sheetData>
  <sheetProtection algorithmName="SHA-512" hashValue="aifFoQosFDdVV32slJw6JkZaVItV7EloMgifpdpknEeNUN5++9ux6n0aOzPIEtXCMkgQXxNF95zPYIXfnRvTPw==" saltValue="l/IERBlx4IIzTlMi+to4Vg==" spinCount="100000" sheet="1" objects="1" scenarios="1" selectLockedCells="1" selectUnlockedCells="1"/>
  <mergeCells count="3">
    <mergeCell ref="C2:C21"/>
    <mergeCell ref="H7:H8"/>
    <mergeCell ref="I7:K8"/>
  </mergeCells>
  <conditionalFormatting sqref="C2">
    <cfRule type="iconSet" priority="1">
      <iconSet iconSet="3TrafficLights2" showValue="0">
        <cfvo type="percent" val="0"/>
        <cfvo type="num" val="1"/>
        <cfvo type="num" val="20"/>
      </iconSet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heckBox1">
          <controlPr defaultSize="0" autoLine="0" linkedCell="E2" r:id="rId4">
            <anchor moveWithCells="1">
              <from>
                <xdr:col>0</xdr:col>
                <xdr:colOff>182033</xdr:colOff>
                <xdr:row>1</xdr:row>
                <xdr:rowOff>8467</xdr:rowOff>
              </from>
              <to>
                <xdr:col>0</xdr:col>
                <xdr:colOff>342900</xdr:colOff>
                <xdr:row>1</xdr:row>
                <xdr:rowOff>177800</xdr:rowOff>
              </to>
            </anchor>
          </controlPr>
        </control>
      </mc:Choice>
      <mc:Fallback>
        <control shapeId="5121" r:id="rId3" name="CheckBox1"/>
      </mc:Fallback>
    </mc:AlternateContent>
    <mc:AlternateContent xmlns:mc="http://schemas.openxmlformats.org/markup-compatibility/2006">
      <mc:Choice Requires="x14">
        <control shapeId="5122" r:id="rId5" name="CheckBox2">
          <controlPr defaultSize="0" autoLine="0" linkedCell="E3" r:id="rId4">
            <anchor moveWithCells="1">
              <from>
                <xdr:col>0</xdr:col>
                <xdr:colOff>182033</xdr:colOff>
                <xdr:row>2</xdr:row>
                <xdr:rowOff>8467</xdr:rowOff>
              </from>
              <to>
                <xdr:col>0</xdr:col>
                <xdr:colOff>342900</xdr:colOff>
                <xdr:row>2</xdr:row>
                <xdr:rowOff>177800</xdr:rowOff>
              </to>
            </anchor>
          </controlPr>
        </control>
      </mc:Choice>
      <mc:Fallback>
        <control shapeId="5122" r:id="rId5" name="CheckBox2"/>
      </mc:Fallback>
    </mc:AlternateContent>
    <mc:AlternateContent xmlns:mc="http://schemas.openxmlformats.org/markup-compatibility/2006">
      <mc:Choice Requires="x14">
        <control shapeId="5123" r:id="rId6" name="CheckBox3">
          <controlPr defaultSize="0" autoLine="0" linkedCell="E4" r:id="rId4">
            <anchor moveWithCells="1">
              <from>
                <xdr:col>0</xdr:col>
                <xdr:colOff>182033</xdr:colOff>
                <xdr:row>3</xdr:row>
                <xdr:rowOff>8467</xdr:rowOff>
              </from>
              <to>
                <xdr:col>0</xdr:col>
                <xdr:colOff>342900</xdr:colOff>
                <xdr:row>3</xdr:row>
                <xdr:rowOff>177800</xdr:rowOff>
              </to>
            </anchor>
          </controlPr>
        </control>
      </mc:Choice>
      <mc:Fallback>
        <control shapeId="5123" r:id="rId6" name="CheckBox3"/>
      </mc:Fallback>
    </mc:AlternateContent>
    <mc:AlternateContent xmlns:mc="http://schemas.openxmlformats.org/markup-compatibility/2006">
      <mc:Choice Requires="x14">
        <control shapeId="5124" r:id="rId7" name="CheckBox4">
          <controlPr defaultSize="0" autoLine="0" linkedCell="E5" r:id="rId4">
            <anchor moveWithCells="1">
              <from>
                <xdr:col>0</xdr:col>
                <xdr:colOff>182033</xdr:colOff>
                <xdr:row>4</xdr:row>
                <xdr:rowOff>8467</xdr:rowOff>
              </from>
              <to>
                <xdr:col>0</xdr:col>
                <xdr:colOff>342900</xdr:colOff>
                <xdr:row>4</xdr:row>
                <xdr:rowOff>177800</xdr:rowOff>
              </to>
            </anchor>
          </controlPr>
        </control>
      </mc:Choice>
      <mc:Fallback>
        <control shapeId="5124" r:id="rId7" name="CheckBox4"/>
      </mc:Fallback>
    </mc:AlternateContent>
    <mc:AlternateContent xmlns:mc="http://schemas.openxmlformats.org/markup-compatibility/2006">
      <mc:Choice Requires="x14">
        <control shapeId="5125" r:id="rId8" name="CheckBox5">
          <controlPr defaultSize="0" autoLine="0" linkedCell="E6" r:id="rId4">
            <anchor moveWithCells="1">
              <from>
                <xdr:col>0</xdr:col>
                <xdr:colOff>182033</xdr:colOff>
                <xdr:row>5</xdr:row>
                <xdr:rowOff>8467</xdr:rowOff>
              </from>
              <to>
                <xdr:col>0</xdr:col>
                <xdr:colOff>342900</xdr:colOff>
                <xdr:row>5</xdr:row>
                <xdr:rowOff>177800</xdr:rowOff>
              </to>
            </anchor>
          </controlPr>
        </control>
      </mc:Choice>
      <mc:Fallback>
        <control shapeId="5125" r:id="rId8" name="CheckBox5"/>
      </mc:Fallback>
    </mc:AlternateContent>
    <mc:AlternateContent xmlns:mc="http://schemas.openxmlformats.org/markup-compatibility/2006">
      <mc:Choice Requires="x14">
        <control shapeId="5126" r:id="rId9" name="CheckBox6">
          <controlPr defaultSize="0" autoLine="0" linkedCell="E7" r:id="rId4">
            <anchor moveWithCells="1">
              <from>
                <xdr:col>0</xdr:col>
                <xdr:colOff>182033</xdr:colOff>
                <xdr:row>6</xdr:row>
                <xdr:rowOff>8467</xdr:rowOff>
              </from>
              <to>
                <xdr:col>0</xdr:col>
                <xdr:colOff>342900</xdr:colOff>
                <xdr:row>6</xdr:row>
                <xdr:rowOff>177800</xdr:rowOff>
              </to>
            </anchor>
          </controlPr>
        </control>
      </mc:Choice>
      <mc:Fallback>
        <control shapeId="5126" r:id="rId9" name="CheckBox6"/>
      </mc:Fallback>
    </mc:AlternateContent>
    <mc:AlternateContent xmlns:mc="http://schemas.openxmlformats.org/markup-compatibility/2006">
      <mc:Choice Requires="x14">
        <control shapeId="5127" r:id="rId10" name="CheckBox7">
          <controlPr defaultSize="0" autoLine="0" linkedCell="E8" r:id="rId4">
            <anchor moveWithCells="1">
              <from>
                <xdr:col>0</xdr:col>
                <xdr:colOff>182033</xdr:colOff>
                <xdr:row>7</xdr:row>
                <xdr:rowOff>8467</xdr:rowOff>
              </from>
              <to>
                <xdr:col>0</xdr:col>
                <xdr:colOff>342900</xdr:colOff>
                <xdr:row>7</xdr:row>
                <xdr:rowOff>177800</xdr:rowOff>
              </to>
            </anchor>
          </controlPr>
        </control>
      </mc:Choice>
      <mc:Fallback>
        <control shapeId="5127" r:id="rId10" name="CheckBox7"/>
      </mc:Fallback>
    </mc:AlternateContent>
    <mc:AlternateContent xmlns:mc="http://schemas.openxmlformats.org/markup-compatibility/2006">
      <mc:Choice Requires="x14">
        <control shapeId="5128" r:id="rId11" name="CheckBox8">
          <controlPr defaultSize="0" autoLine="0" linkedCell="E9" r:id="rId4">
            <anchor moveWithCells="1">
              <from>
                <xdr:col>0</xdr:col>
                <xdr:colOff>182033</xdr:colOff>
                <xdr:row>8</xdr:row>
                <xdr:rowOff>8467</xdr:rowOff>
              </from>
              <to>
                <xdr:col>0</xdr:col>
                <xdr:colOff>342900</xdr:colOff>
                <xdr:row>8</xdr:row>
                <xdr:rowOff>177800</xdr:rowOff>
              </to>
            </anchor>
          </controlPr>
        </control>
      </mc:Choice>
      <mc:Fallback>
        <control shapeId="5128" r:id="rId11" name="CheckBox8"/>
      </mc:Fallback>
    </mc:AlternateContent>
    <mc:AlternateContent xmlns:mc="http://schemas.openxmlformats.org/markup-compatibility/2006">
      <mc:Choice Requires="x14">
        <control shapeId="5129" r:id="rId12" name="CheckBox9">
          <controlPr defaultSize="0" autoLine="0" linkedCell="E10" r:id="rId4">
            <anchor moveWithCells="1">
              <from>
                <xdr:col>0</xdr:col>
                <xdr:colOff>182033</xdr:colOff>
                <xdr:row>9</xdr:row>
                <xdr:rowOff>8467</xdr:rowOff>
              </from>
              <to>
                <xdr:col>0</xdr:col>
                <xdr:colOff>342900</xdr:colOff>
                <xdr:row>9</xdr:row>
                <xdr:rowOff>177800</xdr:rowOff>
              </to>
            </anchor>
          </controlPr>
        </control>
      </mc:Choice>
      <mc:Fallback>
        <control shapeId="5129" r:id="rId12" name="CheckBox9"/>
      </mc:Fallback>
    </mc:AlternateContent>
    <mc:AlternateContent xmlns:mc="http://schemas.openxmlformats.org/markup-compatibility/2006">
      <mc:Choice Requires="x14">
        <control shapeId="5130" r:id="rId13" name="CheckBox10">
          <controlPr defaultSize="0" autoLine="0" linkedCell="E11" r:id="rId4">
            <anchor moveWithCells="1">
              <from>
                <xdr:col>0</xdr:col>
                <xdr:colOff>182033</xdr:colOff>
                <xdr:row>10</xdr:row>
                <xdr:rowOff>8467</xdr:rowOff>
              </from>
              <to>
                <xdr:col>0</xdr:col>
                <xdr:colOff>342900</xdr:colOff>
                <xdr:row>10</xdr:row>
                <xdr:rowOff>177800</xdr:rowOff>
              </to>
            </anchor>
          </controlPr>
        </control>
      </mc:Choice>
      <mc:Fallback>
        <control shapeId="5130" r:id="rId13" name="CheckBox10"/>
      </mc:Fallback>
    </mc:AlternateContent>
    <mc:AlternateContent xmlns:mc="http://schemas.openxmlformats.org/markup-compatibility/2006">
      <mc:Choice Requires="x14">
        <control shapeId="5132" r:id="rId14" name="CheckBox11">
          <controlPr defaultSize="0" autoLine="0" autoPict="0" linkedCell="E12" r:id="rId4">
            <anchor moveWithCells="1">
              <from>
                <xdr:col>0</xdr:col>
                <xdr:colOff>182033</xdr:colOff>
                <xdr:row>11</xdr:row>
                <xdr:rowOff>8467</xdr:rowOff>
              </from>
              <to>
                <xdr:col>1</xdr:col>
                <xdr:colOff>0</xdr:colOff>
                <xdr:row>11</xdr:row>
                <xdr:rowOff>173567</xdr:rowOff>
              </to>
            </anchor>
          </controlPr>
        </control>
      </mc:Choice>
      <mc:Fallback>
        <control shapeId="5132" r:id="rId14" name="CheckBox11"/>
      </mc:Fallback>
    </mc:AlternateContent>
    <mc:AlternateContent xmlns:mc="http://schemas.openxmlformats.org/markup-compatibility/2006">
      <mc:Choice Requires="x14">
        <control shapeId="5133" r:id="rId15" name="CheckBox12">
          <controlPr defaultSize="0" autoLine="0" linkedCell="E13" r:id="rId4">
            <anchor moveWithCells="1">
              <from>
                <xdr:col>0</xdr:col>
                <xdr:colOff>182033</xdr:colOff>
                <xdr:row>12</xdr:row>
                <xdr:rowOff>8467</xdr:rowOff>
              </from>
              <to>
                <xdr:col>0</xdr:col>
                <xdr:colOff>342900</xdr:colOff>
                <xdr:row>12</xdr:row>
                <xdr:rowOff>177800</xdr:rowOff>
              </to>
            </anchor>
          </controlPr>
        </control>
      </mc:Choice>
      <mc:Fallback>
        <control shapeId="5133" r:id="rId15" name="CheckBox12"/>
      </mc:Fallback>
    </mc:AlternateContent>
    <mc:AlternateContent xmlns:mc="http://schemas.openxmlformats.org/markup-compatibility/2006">
      <mc:Choice Requires="x14">
        <control shapeId="5134" r:id="rId16" name="CheckBox13">
          <controlPr defaultSize="0" autoLine="0" linkedCell="E14" r:id="rId4">
            <anchor moveWithCells="1">
              <from>
                <xdr:col>0</xdr:col>
                <xdr:colOff>182033</xdr:colOff>
                <xdr:row>13</xdr:row>
                <xdr:rowOff>8467</xdr:rowOff>
              </from>
              <to>
                <xdr:col>0</xdr:col>
                <xdr:colOff>342900</xdr:colOff>
                <xdr:row>13</xdr:row>
                <xdr:rowOff>177800</xdr:rowOff>
              </to>
            </anchor>
          </controlPr>
        </control>
      </mc:Choice>
      <mc:Fallback>
        <control shapeId="5134" r:id="rId16" name="CheckBox13"/>
      </mc:Fallback>
    </mc:AlternateContent>
    <mc:AlternateContent xmlns:mc="http://schemas.openxmlformats.org/markup-compatibility/2006">
      <mc:Choice Requires="x14">
        <control shapeId="5135" r:id="rId17" name="CheckBox14">
          <controlPr defaultSize="0" autoLine="0" linkedCell="E15" r:id="rId4">
            <anchor moveWithCells="1">
              <from>
                <xdr:col>0</xdr:col>
                <xdr:colOff>182033</xdr:colOff>
                <xdr:row>14</xdr:row>
                <xdr:rowOff>8467</xdr:rowOff>
              </from>
              <to>
                <xdr:col>0</xdr:col>
                <xdr:colOff>342900</xdr:colOff>
                <xdr:row>14</xdr:row>
                <xdr:rowOff>177800</xdr:rowOff>
              </to>
            </anchor>
          </controlPr>
        </control>
      </mc:Choice>
      <mc:Fallback>
        <control shapeId="5135" r:id="rId17" name="CheckBox14"/>
      </mc:Fallback>
    </mc:AlternateContent>
    <mc:AlternateContent xmlns:mc="http://schemas.openxmlformats.org/markup-compatibility/2006">
      <mc:Choice Requires="x14">
        <control shapeId="5136" r:id="rId18" name="CheckBox15">
          <controlPr defaultSize="0" autoLine="0" linkedCell="E16" r:id="rId4">
            <anchor moveWithCells="1">
              <from>
                <xdr:col>0</xdr:col>
                <xdr:colOff>182033</xdr:colOff>
                <xdr:row>15</xdr:row>
                <xdr:rowOff>8467</xdr:rowOff>
              </from>
              <to>
                <xdr:col>0</xdr:col>
                <xdr:colOff>342900</xdr:colOff>
                <xdr:row>15</xdr:row>
                <xdr:rowOff>177800</xdr:rowOff>
              </to>
            </anchor>
          </controlPr>
        </control>
      </mc:Choice>
      <mc:Fallback>
        <control shapeId="5136" r:id="rId18" name="CheckBox15"/>
      </mc:Fallback>
    </mc:AlternateContent>
    <mc:AlternateContent xmlns:mc="http://schemas.openxmlformats.org/markup-compatibility/2006">
      <mc:Choice Requires="x14">
        <control shapeId="5137" r:id="rId19" name="CheckBox16">
          <controlPr defaultSize="0" autoLine="0" linkedCell="E17" r:id="rId4">
            <anchor moveWithCells="1">
              <from>
                <xdr:col>0</xdr:col>
                <xdr:colOff>182033</xdr:colOff>
                <xdr:row>16</xdr:row>
                <xdr:rowOff>8467</xdr:rowOff>
              </from>
              <to>
                <xdr:col>0</xdr:col>
                <xdr:colOff>342900</xdr:colOff>
                <xdr:row>16</xdr:row>
                <xdr:rowOff>177800</xdr:rowOff>
              </to>
            </anchor>
          </controlPr>
        </control>
      </mc:Choice>
      <mc:Fallback>
        <control shapeId="5137" r:id="rId19" name="CheckBox16"/>
      </mc:Fallback>
    </mc:AlternateContent>
    <mc:AlternateContent xmlns:mc="http://schemas.openxmlformats.org/markup-compatibility/2006">
      <mc:Choice Requires="x14">
        <control shapeId="5138" r:id="rId20" name="CheckBox17">
          <controlPr defaultSize="0" autoLine="0" linkedCell="E18" r:id="rId4">
            <anchor moveWithCells="1">
              <from>
                <xdr:col>0</xdr:col>
                <xdr:colOff>182033</xdr:colOff>
                <xdr:row>17</xdr:row>
                <xdr:rowOff>8467</xdr:rowOff>
              </from>
              <to>
                <xdr:col>0</xdr:col>
                <xdr:colOff>342900</xdr:colOff>
                <xdr:row>17</xdr:row>
                <xdr:rowOff>177800</xdr:rowOff>
              </to>
            </anchor>
          </controlPr>
        </control>
      </mc:Choice>
      <mc:Fallback>
        <control shapeId="5138" r:id="rId20" name="CheckBox17"/>
      </mc:Fallback>
    </mc:AlternateContent>
    <mc:AlternateContent xmlns:mc="http://schemas.openxmlformats.org/markup-compatibility/2006">
      <mc:Choice Requires="x14">
        <control shapeId="5140" r:id="rId21" name="CheckBox18">
          <controlPr defaultSize="0" autoLine="0" linkedCell="E19" r:id="rId4">
            <anchor moveWithCells="1">
              <from>
                <xdr:col>0</xdr:col>
                <xdr:colOff>182033</xdr:colOff>
                <xdr:row>18</xdr:row>
                <xdr:rowOff>8467</xdr:rowOff>
              </from>
              <to>
                <xdr:col>0</xdr:col>
                <xdr:colOff>342900</xdr:colOff>
                <xdr:row>18</xdr:row>
                <xdr:rowOff>177800</xdr:rowOff>
              </to>
            </anchor>
          </controlPr>
        </control>
      </mc:Choice>
      <mc:Fallback>
        <control shapeId="5140" r:id="rId21" name="CheckBox18"/>
      </mc:Fallback>
    </mc:AlternateContent>
    <mc:AlternateContent xmlns:mc="http://schemas.openxmlformats.org/markup-compatibility/2006">
      <mc:Choice Requires="x14">
        <control shapeId="5141" r:id="rId22" name="CheckBox19">
          <controlPr defaultSize="0" autoLine="0" linkedCell="E20" r:id="rId4">
            <anchor moveWithCells="1">
              <from>
                <xdr:col>0</xdr:col>
                <xdr:colOff>182033</xdr:colOff>
                <xdr:row>19</xdr:row>
                <xdr:rowOff>8467</xdr:rowOff>
              </from>
              <to>
                <xdr:col>0</xdr:col>
                <xdr:colOff>342900</xdr:colOff>
                <xdr:row>19</xdr:row>
                <xdr:rowOff>177800</xdr:rowOff>
              </to>
            </anchor>
          </controlPr>
        </control>
      </mc:Choice>
      <mc:Fallback>
        <control shapeId="5141" r:id="rId22" name="CheckBox19"/>
      </mc:Fallback>
    </mc:AlternateContent>
    <mc:AlternateContent xmlns:mc="http://schemas.openxmlformats.org/markup-compatibility/2006">
      <mc:Choice Requires="x14">
        <control shapeId="5142" r:id="rId23" name="CheckBox20">
          <controlPr defaultSize="0" autoLine="0" linkedCell="E21" r:id="rId4">
            <anchor moveWithCells="1">
              <from>
                <xdr:col>0</xdr:col>
                <xdr:colOff>182033</xdr:colOff>
                <xdr:row>20</xdr:row>
                <xdr:rowOff>8467</xdr:rowOff>
              </from>
              <to>
                <xdr:col>0</xdr:col>
                <xdr:colOff>342900</xdr:colOff>
                <xdr:row>20</xdr:row>
                <xdr:rowOff>177800</xdr:rowOff>
              </to>
            </anchor>
          </controlPr>
        </control>
      </mc:Choice>
      <mc:Fallback>
        <control shapeId="5142" r:id="rId23" name="CheckBox20"/>
      </mc:Fallback>
    </mc:AlternateContent>
    <mc:AlternateContent xmlns:mc="http://schemas.openxmlformats.org/markup-compatibility/2006">
      <mc:Choice Requires="x14">
        <control shapeId="5163" r:id="rId24" name="TextBox1">
          <controlPr defaultSize="0" autoLine="0" r:id="rId25">
            <anchor moveWithCells="1">
              <from>
                <xdr:col>7</xdr:col>
                <xdr:colOff>1350433</xdr:colOff>
                <xdr:row>6</xdr:row>
                <xdr:rowOff>55033</xdr:rowOff>
              </from>
              <to>
                <xdr:col>10</xdr:col>
                <xdr:colOff>491067</xdr:colOff>
                <xdr:row>7</xdr:row>
                <xdr:rowOff>156633</xdr:rowOff>
              </to>
            </anchor>
          </controlPr>
        </control>
      </mc:Choice>
      <mc:Fallback>
        <control shapeId="5163" r:id="rId24" name="Text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E6957B"/>
  </sheetPr>
  <dimension ref="B2:K9"/>
  <sheetViews>
    <sheetView showRowColHeaders="0" zoomScaleNormal="100" workbookViewId="0">
      <selection activeCell="H5" sqref="H5"/>
    </sheetView>
  </sheetViews>
  <sheetFormatPr defaultColWidth="8.87890625" defaultRowHeight="14.35" x14ac:dyDescent="0.5"/>
  <cols>
    <col min="1" max="1" width="5" style="11" customWidth="1"/>
    <col min="2" max="2" width="80" style="11" customWidth="1"/>
    <col min="3" max="3" width="8.87890625" style="11"/>
    <col min="4" max="4" width="20.52734375" style="11" customWidth="1"/>
    <col min="5" max="6" width="8.87890625" style="11" hidden="1" customWidth="1"/>
    <col min="7" max="7" width="8.87890625" style="11" customWidth="1"/>
    <col min="8" max="8" width="20.76171875" style="11" customWidth="1"/>
    <col min="9" max="16384" width="8.87890625" style="11"/>
  </cols>
  <sheetData>
    <row r="2" spans="2:11" ht="14.45" customHeight="1" x14ac:dyDescent="0.5">
      <c r="B2" s="35" t="s">
        <v>57</v>
      </c>
      <c r="C2" s="76">
        <f>COUNTIF(E2:E6,TRUE)</f>
        <v>0</v>
      </c>
      <c r="D2" s="43"/>
      <c r="E2" s="18" t="b">
        <v>0</v>
      </c>
      <c r="F2" s="24" t="b">
        <v>0</v>
      </c>
      <c r="G2" s="16"/>
    </row>
    <row r="3" spans="2:11" ht="14.45" customHeight="1" x14ac:dyDescent="0.5">
      <c r="B3" s="35" t="s">
        <v>60</v>
      </c>
      <c r="C3" s="76"/>
      <c r="D3" s="43"/>
      <c r="E3" s="18" t="b">
        <v>0</v>
      </c>
      <c r="F3" s="24" t="b">
        <v>0</v>
      </c>
      <c r="G3" s="16"/>
    </row>
    <row r="4" spans="2:11" ht="14.45" customHeight="1" x14ac:dyDescent="0.5">
      <c r="B4" s="35" t="s">
        <v>6</v>
      </c>
      <c r="C4" s="76"/>
      <c r="D4" s="43"/>
      <c r="E4" s="18" t="b">
        <v>0</v>
      </c>
      <c r="F4" s="24" t="b">
        <v>0</v>
      </c>
      <c r="G4" s="16"/>
    </row>
    <row r="5" spans="2:11" ht="14.45" customHeight="1" x14ac:dyDescent="0.5">
      <c r="B5" s="36" t="s">
        <v>11</v>
      </c>
      <c r="C5" s="76"/>
      <c r="D5" s="43"/>
      <c r="E5" s="18" t="b">
        <v>0</v>
      </c>
      <c r="F5" s="24" t="b">
        <v>0</v>
      </c>
      <c r="G5" s="16"/>
    </row>
    <row r="6" spans="2:11" ht="14.45" customHeight="1" x14ac:dyDescent="0.5">
      <c r="B6" s="35" t="s">
        <v>13</v>
      </c>
      <c r="C6" s="76"/>
      <c r="D6" s="43"/>
      <c r="E6" s="18" t="b">
        <v>0</v>
      </c>
      <c r="F6" s="24" t="b">
        <v>0</v>
      </c>
      <c r="G6" s="16"/>
    </row>
    <row r="7" spans="2:11" x14ac:dyDescent="0.5">
      <c r="B7" s="35" t="s">
        <v>65</v>
      </c>
      <c r="C7" s="76"/>
      <c r="D7" s="45"/>
      <c r="E7" s="18" t="b">
        <v>0</v>
      </c>
      <c r="F7" s="24" t="b">
        <v>0</v>
      </c>
      <c r="H7" s="72" t="s">
        <v>52</v>
      </c>
      <c r="I7" s="74"/>
      <c r="J7" s="74"/>
      <c r="K7" s="74"/>
    </row>
    <row r="8" spans="2:11" x14ac:dyDescent="0.5">
      <c r="H8" s="73"/>
      <c r="I8" s="75"/>
      <c r="J8" s="75"/>
      <c r="K8" s="75"/>
    </row>
    <row r="9" spans="2:11" x14ac:dyDescent="0.5">
      <c r="D9" s="25" t="s">
        <v>55</v>
      </c>
    </row>
  </sheetData>
  <sheetProtection algorithmName="SHA-512" hashValue="IhQ2AwVBDXPMvWVVeoEqN68Ywmc/wl5yF1WqFNl9oEFUw7DOnL9Jp+Xy7aINN7IuStVWW088JbJr8rN7QuG+9w==" saltValue="GZ5ASa7NW6/JlfnY0GwYig==" spinCount="100000" sheet="1" objects="1" scenarios="1" selectLockedCells="1" selectUnlockedCells="1"/>
  <mergeCells count="3">
    <mergeCell ref="H7:H8"/>
    <mergeCell ref="I7:K8"/>
    <mergeCell ref="C2:C7"/>
  </mergeCells>
  <conditionalFormatting sqref="C2">
    <cfRule type="iconSet" priority="9">
      <iconSet iconSet="3TrafficLights2" showValue="0">
        <cfvo type="percent" val="0"/>
        <cfvo type="num" val="1"/>
        <cfvo type="num" val="6"/>
      </iconSet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CheckBox1">
          <controlPr defaultSize="0" autoLine="0" linkedCell="E2" r:id="rId5">
            <anchor moveWithCells="1">
              <from>
                <xdr:col>0</xdr:col>
                <xdr:colOff>182033</xdr:colOff>
                <xdr:row>1</xdr:row>
                <xdr:rowOff>8467</xdr:rowOff>
              </from>
              <to>
                <xdr:col>0</xdr:col>
                <xdr:colOff>334433</xdr:colOff>
                <xdr:row>1</xdr:row>
                <xdr:rowOff>169333</xdr:rowOff>
              </to>
            </anchor>
          </controlPr>
        </control>
      </mc:Choice>
      <mc:Fallback>
        <control shapeId="6145" r:id="rId4" name="CheckBox1"/>
      </mc:Fallback>
    </mc:AlternateContent>
    <mc:AlternateContent xmlns:mc="http://schemas.openxmlformats.org/markup-compatibility/2006">
      <mc:Choice Requires="x14">
        <control shapeId="6146" r:id="rId6" name="CheckBox2">
          <controlPr defaultSize="0" autoLine="0" linkedCell="E3" r:id="rId5">
            <anchor moveWithCells="1">
              <from>
                <xdr:col>0</xdr:col>
                <xdr:colOff>182033</xdr:colOff>
                <xdr:row>2</xdr:row>
                <xdr:rowOff>8467</xdr:rowOff>
              </from>
              <to>
                <xdr:col>0</xdr:col>
                <xdr:colOff>334433</xdr:colOff>
                <xdr:row>2</xdr:row>
                <xdr:rowOff>169333</xdr:rowOff>
              </to>
            </anchor>
          </controlPr>
        </control>
      </mc:Choice>
      <mc:Fallback>
        <control shapeId="6146" r:id="rId6" name="CheckBox2"/>
      </mc:Fallback>
    </mc:AlternateContent>
    <mc:AlternateContent xmlns:mc="http://schemas.openxmlformats.org/markup-compatibility/2006">
      <mc:Choice Requires="x14">
        <control shapeId="6158" r:id="rId7" name="CheckBox4">
          <controlPr defaultSize="0" autoLine="0" linkedCell="E5" r:id="rId5">
            <anchor moveWithCells="1">
              <from>
                <xdr:col>0</xdr:col>
                <xdr:colOff>182033</xdr:colOff>
                <xdr:row>4</xdr:row>
                <xdr:rowOff>8467</xdr:rowOff>
              </from>
              <to>
                <xdr:col>0</xdr:col>
                <xdr:colOff>334433</xdr:colOff>
                <xdr:row>4</xdr:row>
                <xdr:rowOff>169333</xdr:rowOff>
              </to>
            </anchor>
          </controlPr>
        </control>
      </mc:Choice>
      <mc:Fallback>
        <control shapeId="6158" r:id="rId7" name="CheckBox4"/>
      </mc:Fallback>
    </mc:AlternateContent>
    <mc:AlternateContent xmlns:mc="http://schemas.openxmlformats.org/markup-compatibility/2006">
      <mc:Choice Requires="x14">
        <control shapeId="6159" r:id="rId8" name="CheckBox5">
          <controlPr defaultSize="0" autoLine="0" linkedCell="E6" r:id="rId5">
            <anchor moveWithCells="1">
              <from>
                <xdr:col>0</xdr:col>
                <xdr:colOff>182033</xdr:colOff>
                <xdr:row>5</xdr:row>
                <xdr:rowOff>8467</xdr:rowOff>
              </from>
              <to>
                <xdr:col>0</xdr:col>
                <xdr:colOff>334433</xdr:colOff>
                <xdr:row>5</xdr:row>
                <xdr:rowOff>169333</xdr:rowOff>
              </to>
            </anchor>
          </controlPr>
        </control>
      </mc:Choice>
      <mc:Fallback>
        <control shapeId="6159" r:id="rId8" name="CheckBox5"/>
      </mc:Fallback>
    </mc:AlternateContent>
    <mc:AlternateContent xmlns:mc="http://schemas.openxmlformats.org/markup-compatibility/2006">
      <mc:Choice Requires="x14">
        <control shapeId="6160" r:id="rId9" name="CheckBox6">
          <controlPr defaultSize="0" autoLine="0" linkedCell="E7" r:id="rId5">
            <anchor moveWithCells="1">
              <from>
                <xdr:col>0</xdr:col>
                <xdr:colOff>182033</xdr:colOff>
                <xdr:row>6</xdr:row>
                <xdr:rowOff>8467</xdr:rowOff>
              </from>
              <to>
                <xdr:col>0</xdr:col>
                <xdr:colOff>334433</xdr:colOff>
                <xdr:row>6</xdr:row>
                <xdr:rowOff>169333</xdr:rowOff>
              </to>
            </anchor>
          </controlPr>
        </control>
      </mc:Choice>
      <mc:Fallback>
        <control shapeId="6160" r:id="rId9" name="CheckBox6"/>
      </mc:Fallback>
    </mc:AlternateContent>
    <mc:AlternateContent xmlns:mc="http://schemas.openxmlformats.org/markup-compatibility/2006">
      <mc:Choice Requires="x14">
        <control shapeId="6161" r:id="rId10" name="CheckBox3">
          <controlPr defaultSize="0" autoLine="0" linkedCell="E4" r:id="rId5">
            <anchor moveWithCells="1">
              <from>
                <xdr:col>0</xdr:col>
                <xdr:colOff>182033</xdr:colOff>
                <xdr:row>3</xdr:row>
                <xdr:rowOff>8467</xdr:rowOff>
              </from>
              <to>
                <xdr:col>0</xdr:col>
                <xdr:colOff>334433</xdr:colOff>
                <xdr:row>3</xdr:row>
                <xdr:rowOff>169333</xdr:rowOff>
              </to>
            </anchor>
          </controlPr>
        </control>
      </mc:Choice>
      <mc:Fallback>
        <control shapeId="6161" r:id="rId10" name="CheckBox3"/>
      </mc:Fallback>
    </mc:AlternateContent>
    <mc:AlternateContent xmlns:mc="http://schemas.openxmlformats.org/markup-compatibility/2006">
      <mc:Choice Requires="x14">
        <control shapeId="6163" r:id="rId11" name="TextBox1">
          <controlPr defaultSize="0" autoLine="0" r:id="rId12">
            <anchor moveWithCells="1">
              <from>
                <xdr:col>7</xdr:col>
                <xdr:colOff>1363133</xdr:colOff>
                <xdr:row>6</xdr:row>
                <xdr:rowOff>46567</xdr:rowOff>
              </from>
              <to>
                <xdr:col>10</xdr:col>
                <xdr:colOff>503767</xdr:colOff>
                <xdr:row>7</xdr:row>
                <xdr:rowOff>148167</xdr:rowOff>
              </to>
            </anchor>
          </controlPr>
        </control>
      </mc:Choice>
      <mc:Fallback>
        <control shapeId="6163" r:id="rId11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DETAILS</vt:lpstr>
      <vt:lpstr>SALES</vt:lpstr>
      <vt:lpstr>SERVICE</vt:lpstr>
      <vt:lpstr>PARTS</vt:lpstr>
      <vt:lpstr>FARMSIGHT</vt:lpstr>
      <vt:lpstr>FINANCE &amp; ACCOUNTS</vt:lpstr>
    </vt:vector>
  </TitlesOfParts>
  <Company>Maidstone Grammar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Hynard</dc:creator>
  <cp:lastModifiedBy>William Hynard</cp:lastModifiedBy>
  <cp:lastPrinted>2016-10-17T18:20:11Z</cp:lastPrinted>
  <dcterms:created xsi:type="dcterms:W3CDTF">2016-09-22T10:25:38Z</dcterms:created>
  <dcterms:modified xsi:type="dcterms:W3CDTF">2022-11-06T17:52:12Z</dcterms:modified>
</cp:coreProperties>
</file>